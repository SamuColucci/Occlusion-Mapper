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C:\Users\samue\Desktop\Tirocinio\"/>
    </mc:Choice>
  </mc:AlternateContent>
  <xr:revisionPtr revIDLastSave="0" documentId="13_ncr:1_{6534262E-0D0A-4305-BBC1-6239F932FFE6}" xr6:coauthVersionLast="47" xr6:coauthVersionMax="47" xr10:uidLastSave="{00000000-0000-0000-0000-000000000000}"/>
  <bookViews>
    <workbookView xWindow="-108" yWindow="-108" windowWidth="23256" windowHeight="12456" activeTab="2" xr2:uid="{E5B1937E-A94E-43D7-AFB9-D91431558A9C}"/>
  </bookViews>
  <sheets>
    <sheet name="copertina" sheetId="6" r:id="rId1"/>
    <sheet name="foglio dati" sheetId="5" r:id="rId2"/>
    <sheet name="foglio presenze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7" i="8" l="1"/>
  <c r="J76" i="8"/>
  <c r="J4" i="8"/>
  <c r="J5" i="8"/>
  <c r="J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J30" i="8"/>
  <c r="J31" i="8"/>
  <c r="J32" i="8"/>
  <c r="J33" i="8"/>
  <c r="J34" i="8"/>
  <c r="J35" i="8"/>
  <c r="J36" i="8"/>
  <c r="J37" i="8"/>
  <c r="J38" i="8"/>
  <c r="J39" i="8"/>
  <c r="J40" i="8"/>
  <c r="J41" i="8"/>
  <c r="J42" i="8"/>
  <c r="J43" i="8"/>
  <c r="J44" i="8"/>
  <c r="J45" i="8"/>
  <c r="J46" i="8"/>
  <c r="J47" i="8"/>
  <c r="J48" i="8"/>
  <c r="J49" i="8"/>
  <c r="J50" i="8"/>
  <c r="J51" i="8"/>
  <c r="J52" i="8"/>
  <c r="J53" i="8"/>
  <c r="J54" i="8"/>
  <c r="J55" i="8"/>
  <c r="J56" i="8"/>
  <c r="J57" i="8"/>
  <c r="J58" i="8"/>
  <c r="J59" i="8"/>
  <c r="J60" i="8"/>
  <c r="J61" i="8"/>
  <c r="J62" i="8"/>
  <c r="J63" i="8"/>
  <c r="J64" i="8"/>
  <c r="J65" i="8"/>
  <c r="J66" i="8"/>
  <c r="J67" i="8"/>
  <c r="J68" i="8"/>
  <c r="J69" i="8"/>
  <c r="J70" i="8"/>
  <c r="J71" i="8"/>
  <c r="J72" i="8"/>
  <c r="J73" i="8"/>
  <c r="J74" i="8"/>
  <c r="J75" i="8"/>
  <c r="J111" i="8" l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<sst xmlns="http://schemas.openxmlformats.org/spreadsheetml/2006/main" count="153" uniqueCount="47">
  <si>
    <t>in</t>
  </si>
  <si>
    <t xml:space="preserve">Studente:  </t>
  </si>
  <si>
    <t xml:space="preserve">Luogo di nascita: </t>
  </si>
  <si>
    <t xml:space="preserve">Ore di Stage: </t>
  </si>
  <si>
    <t xml:space="preserve">                   </t>
  </si>
  <si>
    <t xml:space="preserve">            </t>
  </si>
  <si>
    <t>Tutor Interno (Firma)</t>
  </si>
  <si>
    <t>Tutor esterno</t>
  </si>
  <si>
    <t>(firma)</t>
  </si>
  <si>
    <t xml:space="preserve">Tutor interno: </t>
  </si>
  <si>
    <t xml:space="preserve">                      Prof.</t>
  </si>
  <si>
    <t>___________________</t>
  </si>
  <si>
    <t>(Timbro e Firma)</t>
  </si>
  <si>
    <t>__________________________________________________</t>
  </si>
  <si>
    <t>UNIVERSITA' DEGLI STUDI DI SALERNO</t>
  </si>
  <si>
    <t>IN</t>
  </si>
  <si>
    <t xml:space="preserve">Attività svolta </t>
  </si>
  <si>
    <t>Data</t>
  </si>
  <si>
    <t>Orario</t>
  </si>
  <si>
    <t>Tot. Ore</t>
  </si>
  <si>
    <t>firma del tirocinante</t>
  </si>
  <si>
    <t xml:space="preserve"> Ingresso </t>
  </si>
  <si>
    <t>Uscita</t>
  </si>
  <si>
    <t>Tutor Interno (firma)</t>
  </si>
  <si>
    <t xml:space="preserve">        Prof.</t>
  </si>
  <si>
    <t xml:space="preserve">                 </t>
  </si>
  <si>
    <t xml:space="preserve"> </t>
  </si>
  <si>
    <t>INFORMATICA</t>
  </si>
  <si>
    <t>Informatica</t>
  </si>
  <si>
    <t>DIPARTIMENTO DI INFORMATICA</t>
  </si>
  <si>
    <t>Data di nascita</t>
  </si>
  <si>
    <t xml:space="preserve">Matricola </t>
  </si>
  <si>
    <t>LAUREA TRIENNALE</t>
  </si>
  <si>
    <t xml:space="preserve">Dipartimento:  </t>
  </si>
  <si>
    <t xml:space="preserve">a.a. </t>
  </si>
  <si>
    <t xml:space="preserve">       A.A. </t>
  </si>
  <si>
    <t>REGISTRO ORE DI TIROCINIO INTERNO</t>
  </si>
  <si>
    <t>Presidente del C.A.D.</t>
  </si>
  <si>
    <t>firma tutor</t>
  </si>
  <si>
    <t>Samuele Colucci</t>
  </si>
  <si>
    <t>0512119140</t>
  </si>
  <si>
    <t>Sant'Angelo dei Lombardi</t>
  </si>
  <si>
    <t>Analisi documentazione lavori simili e Turtlebot</t>
  </si>
  <si>
    <t>Occlusion-Aware  for Autonomous Driving</t>
  </si>
  <si>
    <t xml:space="preserve">Nuscenes and Occlusion-Aware </t>
  </si>
  <si>
    <t>Ricerca ed Estreazione Zone di Occlusione</t>
  </si>
  <si>
    <t>Analisi Zone Occluse e Calcolo Probabilistico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</si>
</sst>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sz val="14"/>
      <name val="Arial"/>
      <family val="2"/>
    </font>
    <font>
      <b/>
      <sz val="18"/>
      <name val="Arial"/>
      <family val="2"/>
    </font>
    <font>
      <sz val="14"/>
      <name val="Arial"/>
      <family val="2"/>
    </font>
    <font>
      <sz val="14"/>
      <color indexed="10"/>
      <name val="Arial"/>
      <family val="2"/>
    </font>
    <font>
      <sz val="18"/>
      <name val="Arial"/>
      <family val="2"/>
    </font>
    <font>
      <sz val="8"/>
      <name val="Arial"/>
      <family val="2"/>
    </font>
    <font>
      <b/>
      <sz val="20"/>
      <name val="Arial"/>
      <family val="2"/>
    </font>
    <font>
      <b/>
      <sz val="18"/>
      <name val="Arial"/>
      <family val="2"/>
    </font>
    <font>
      <b/>
      <sz val="11"/>
      <name val="Arial"/>
      <family val="2"/>
    </font>
    <font>
      <i/>
      <sz val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20"/>
      <name val="Arial Black"/>
      <family val="2"/>
    </font>
    <font>
      <sz val="11"/>
      <name val="Arial"/>
      <family val="2"/>
    </font>
    <font>
      <u/>
      <sz val="10"/>
      <name val="Arial"/>
      <family val="2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0" fillId="0" borderId="0" xfId="0" applyAlignment="1">
      <alignment horizontal="left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5" fillId="0" borderId="0" xfId="0" applyFont="1" applyAlignment="1">
      <alignment horizontal="left"/>
    </xf>
    <xf numFmtId="14" fontId="2" fillId="0" borderId="0" xfId="0" applyNumberFormat="1" applyFont="1" applyAlignment="1">
      <alignment horizontal="left" wrapText="1"/>
    </xf>
    <xf numFmtId="0" fontId="8" fillId="0" borderId="0" xfId="0" applyFont="1" applyAlignment="1">
      <alignment horizontal="center"/>
    </xf>
    <xf numFmtId="0" fontId="0" fillId="0" borderId="0" xfId="0" applyAlignment="1">
      <alignment horizontal="left" wrapText="1"/>
    </xf>
    <xf numFmtId="0" fontId="9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10" fillId="0" borderId="0" xfId="0" applyFont="1"/>
    <xf numFmtId="0" fontId="2" fillId="0" borderId="0" xfId="0" applyFont="1"/>
    <xf numFmtId="0" fontId="11" fillId="0" borderId="0" xfId="0" applyFont="1" applyAlignment="1">
      <alignment horizontal="left"/>
    </xf>
    <xf numFmtId="0" fontId="1" fillId="0" borderId="0" xfId="0" applyFont="1"/>
    <xf numFmtId="0" fontId="1" fillId="0" borderId="1" xfId="0" applyFont="1" applyBorder="1" applyAlignment="1">
      <alignment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9" xfId="0" applyBorder="1"/>
    <xf numFmtId="0" fontId="0" fillId="0" borderId="10" xfId="0" applyBorder="1"/>
    <xf numFmtId="49" fontId="2" fillId="0" borderId="0" xfId="0" applyNumberFormat="1" applyFont="1"/>
    <xf numFmtId="0" fontId="18" fillId="0" borderId="0" xfId="0" applyFont="1" applyAlignment="1">
      <alignment wrapText="1"/>
    </xf>
    <xf numFmtId="14" fontId="0" fillId="0" borderId="2" xfId="0" applyNumberFormat="1" applyBorder="1"/>
    <xf numFmtId="20" fontId="0" fillId="0" borderId="11" xfId="0" applyNumberFormat="1" applyBorder="1"/>
    <xf numFmtId="20" fontId="0" fillId="0" borderId="4" xfId="0" applyNumberFormat="1" applyBorder="1"/>
    <xf numFmtId="0" fontId="19" fillId="0" borderId="6" xfId="0" applyFont="1" applyBorder="1"/>
    <xf numFmtId="14" fontId="0" fillId="0" borderId="5" xfId="0" applyNumberFormat="1" applyBorder="1"/>
    <xf numFmtId="20" fontId="0" fillId="0" borderId="12" xfId="0" applyNumberFormat="1" applyBorder="1"/>
    <xf numFmtId="20" fontId="0" fillId="0" borderId="7" xfId="0" applyNumberFormat="1" applyBorder="1"/>
    <xf numFmtId="0" fontId="2" fillId="0" borderId="5" xfId="0" applyFont="1" applyBorder="1"/>
    <xf numFmtId="14" fontId="0" fillId="0" borderId="8" xfId="0" applyNumberFormat="1" applyBorder="1"/>
    <xf numFmtId="14" fontId="0" fillId="0" borderId="0" xfId="0" applyNumberFormat="1"/>
    <xf numFmtId="20" fontId="2" fillId="0" borderId="7" xfId="0" applyNumberFormat="1" applyFont="1" applyBorder="1"/>
    <xf numFmtId="2" fontId="2" fillId="0" borderId="11" xfId="0" applyNumberFormat="1" applyFont="1" applyBorder="1"/>
    <xf numFmtId="2" fontId="0" fillId="0" borderId="0" xfId="0" applyNumberFormat="1"/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13" fillId="0" borderId="18" xfId="0" applyFont="1" applyBorder="1" applyAlignment="1">
      <alignment horizontal="center" vertical="center"/>
    </xf>
    <xf numFmtId="0" fontId="13" fillId="0" borderId="19" xfId="0" applyFont="1" applyBorder="1" applyAlignment="1">
      <alignment horizontal="center" vertical="center"/>
    </xf>
    <xf numFmtId="0" fontId="0" fillId="0" borderId="20" xfId="0" applyBorder="1" applyAlignment="1">
      <alignment vertical="center"/>
    </xf>
    <xf numFmtId="0" fontId="13" fillId="0" borderId="21" xfId="0" applyFont="1" applyBorder="1" applyAlignment="1">
      <alignment horizontal="center" vertical="center"/>
    </xf>
    <xf numFmtId="0" fontId="13" fillId="0" borderId="22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14" fillId="0" borderId="15" xfId="0" applyFont="1" applyBorder="1" applyAlignment="1">
      <alignment horizontal="center" vertical="center"/>
    </xf>
    <xf numFmtId="0" fontId="14" fillId="0" borderId="16" xfId="0" applyFont="1" applyBorder="1" applyAlignment="1">
      <alignment horizontal="center" vertical="center"/>
    </xf>
    <xf numFmtId="0" fontId="14" fillId="0" borderId="18" xfId="0" applyFont="1" applyBorder="1" applyAlignment="1">
      <alignment horizontal="center" vertical="center"/>
    </xf>
    <xf numFmtId="0" fontId="16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17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</cellXfs>
  <cellStyles count="1">
    <cellStyle name="Normale" xfId="0" builtinId="0"/>
  </cellStyles>
  <dxfs count="1">
    <dxf>
      <fill>
        <patternFill>
          <bgColor rgb="FFC0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0/relationships/richValueRel" Target="richData/richValueRel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17/06/relationships/rdRichValueTypes" Target="richData/rdRichValueTypes.xml"/><Relationship Id="rId5" Type="http://schemas.openxmlformats.org/officeDocument/2006/relationships/styles" Target="styles.xml"/><Relationship Id="rId10" Type="http://schemas.microsoft.com/office/2017/06/relationships/rdRichValueStructure" Target="richData/rdrichvaluestructure.xml"/><Relationship Id="rId4" Type="http://schemas.openxmlformats.org/officeDocument/2006/relationships/theme" Target="theme/theme1.xml"/><Relationship Id="rId9" Type="http://schemas.microsoft.com/office/2017/06/relationships/rdRichValue" Target="richData/rdrichvalue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60960</xdr:colOff>
      <xdr:row>0</xdr:row>
      <xdr:rowOff>60960</xdr:rowOff>
    </xdr:from>
    <xdr:to>
      <xdr:col>8</xdr:col>
      <xdr:colOff>0</xdr:colOff>
      <xdr:row>7</xdr:row>
      <xdr:rowOff>381000</xdr:rowOff>
    </xdr:to>
    <xdr:pic>
      <xdr:nvPicPr>
        <xdr:cNvPr id="7006" name="Picture 1" descr="logouniv2">
          <a:extLst>
            <a:ext uri="{FF2B5EF4-FFF2-40B4-BE49-F238E27FC236}">
              <a16:creationId xmlns:a16="http://schemas.microsoft.com/office/drawing/2014/main" id="{F6B214DA-1F28-20D4-C6F7-39EF635855DD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8560" y="60960"/>
          <a:ext cx="1158240" cy="11582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0AA37-5BBA-4910-831A-D7DF8EA48DBA}">
  <dimension ref="A4:N22"/>
  <sheetViews>
    <sheetView topLeftCell="A5" workbookViewId="0">
      <selection activeCell="A13" sqref="A13:N13"/>
    </sheetView>
  </sheetViews>
  <sheetFormatPr defaultRowHeight="13.2" x14ac:dyDescent="0.25"/>
  <sheetData>
    <row r="4" spans="1:14" hidden="1" x14ac:dyDescent="0.25"/>
    <row r="6" spans="1:14" hidden="1" x14ac:dyDescent="0.25"/>
    <row r="8" spans="1:14" ht="33.75" customHeight="1" x14ac:dyDescent="0.25"/>
    <row r="9" spans="1:14" ht="35.25" customHeight="1" x14ac:dyDescent="0.25">
      <c r="C9" s="71" t="s">
        <v>14</v>
      </c>
      <c r="D9" s="71"/>
      <c r="E9" s="71"/>
      <c r="F9" s="71"/>
      <c r="G9" s="71"/>
      <c r="H9" s="71"/>
      <c r="I9" s="71"/>
      <c r="J9" s="71"/>
      <c r="K9" s="71"/>
      <c r="L9" s="71"/>
    </row>
    <row r="10" spans="1:14" ht="35.25" customHeight="1" x14ac:dyDescent="0.25">
      <c r="C10" s="71"/>
      <c r="D10" s="71"/>
      <c r="E10" s="71"/>
      <c r="F10" s="71"/>
      <c r="G10" s="71"/>
      <c r="H10" s="71"/>
      <c r="I10" s="71"/>
      <c r="J10" s="71"/>
      <c r="K10" s="71"/>
      <c r="L10" s="71"/>
    </row>
    <row r="11" spans="1:14" s="21" customFormat="1" ht="24.6" x14ac:dyDescent="0.4">
      <c r="D11" s="8"/>
      <c r="E11" s="8" t="s">
        <v>29</v>
      </c>
      <c r="F11" s="8"/>
      <c r="G11" s="8"/>
      <c r="H11" s="8"/>
      <c r="I11" s="8"/>
      <c r="J11" s="8"/>
      <c r="K11" s="8"/>
    </row>
    <row r="12" spans="1:14" s="21" customFormat="1" ht="24.6" x14ac:dyDescent="0.4"/>
    <row r="13" spans="1:14" ht="22.8" x14ac:dyDescent="0.4">
      <c r="A13" s="72" t="s">
        <v>36</v>
      </c>
      <c r="B13" s="72"/>
      <c r="C13" s="72"/>
      <c r="D13" s="72"/>
      <c r="E13" s="72"/>
      <c r="F13" s="72"/>
      <c r="G13" s="72"/>
      <c r="H13" s="72"/>
      <c r="I13" s="72"/>
      <c r="J13" s="72"/>
      <c r="K13" s="72"/>
      <c r="L13" s="72"/>
      <c r="M13" s="72"/>
      <c r="N13" s="72"/>
    </row>
    <row r="15" spans="1:14" s="22" customFormat="1" ht="34.5" customHeight="1" x14ac:dyDescent="0.4">
      <c r="A15" s="73" t="s">
        <v>32</v>
      </c>
      <c r="B15" s="73"/>
      <c r="C15" s="73"/>
      <c r="D15" s="73"/>
      <c r="E15" s="73"/>
      <c r="F15" s="73"/>
      <c r="G15" s="73"/>
      <c r="H15" s="73"/>
      <c r="I15" s="73"/>
      <c r="J15" s="73"/>
      <c r="K15" s="73"/>
      <c r="L15" s="73"/>
      <c r="M15" s="73"/>
      <c r="N15" s="73"/>
    </row>
    <row r="16" spans="1:14" ht="22.8" x14ac:dyDescent="0.4">
      <c r="A16" s="74" t="s">
        <v>15</v>
      </c>
      <c r="B16" s="74"/>
      <c r="C16" s="74"/>
      <c r="D16" s="74"/>
      <c r="E16" s="74"/>
      <c r="F16" s="74"/>
      <c r="G16" s="74"/>
      <c r="H16" s="74"/>
      <c r="I16" s="74"/>
      <c r="J16" s="74"/>
      <c r="K16" s="74"/>
      <c r="L16" s="74"/>
      <c r="M16" s="74"/>
      <c r="N16" s="74"/>
    </row>
    <row r="18" spans="1:14" ht="22.8" x14ac:dyDescent="0.4">
      <c r="A18" s="72" t="s">
        <v>27</v>
      </c>
      <c r="B18" s="72"/>
      <c r="C18" s="72"/>
      <c r="D18" s="72"/>
      <c r="E18" s="72"/>
      <c r="F18" s="72"/>
      <c r="G18" s="72"/>
      <c r="H18" s="72"/>
      <c r="I18" s="72"/>
      <c r="J18" s="72"/>
      <c r="K18" s="72"/>
      <c r="L18" s="72"/>
      <c r="M18" s="72"/>
      <c r="N18" s="72"/>
    </row>
    <row r="20" spans="1:14" ht="22.8" x14ac:dyDescent="0.4">
      <c r="A20" s="72" t="s">
        <v>34</v>
      </c>
      <c r="B20" s="72"/>
      <c r="C20" s="72"/>
      <c r="D20" s="72"/>
      <c r="E20" s="72"/>
      <c r="F20" s="72"/>
      <c r="G20" s="72"/>
      <c r="H20" s="72"/>
      <c r="I20" s="72"/>
      <c r="J20" s="72"/>
      <c r="K20" s="72"/>
      <c r="L20" s="72"/>
      <c r="M20" s="72"/>
      <c r="N20" s="72"/>
    </row>
    <row r="22" spans="1:14" ht="15.6" x14ac:dyDescent="0.3">
      <c r="D22" s="69"/>
      <c r="E22" s="70"/>
      <c r="F22" s="70"/>
      <c r="G22" s="70"/>
      <c r="H22" s="70"/>
      <c r="I22" s="70"/>
      <c r="J22" s="70"/>
      <c r="K22" s="70"/>
    </row>
  </sheetData>
  <mergeCells count="7">
    <mergeCell ref="D22:K22"/>
    <mergeCell ref="C9:L10"/>
    <mergeCell ref="A13:N13"/>
    <mergeCell ref="A15:N15"/>
    <mergeCell ref="A16:N16"/>
    <mergeCell ref="A18:N18"/>
    <mergeCell ref="A20:N20"/>
  </mergeCells>
  <pageMargins left="0.75" right="0.75" top="1" bottom="1" header="0.5" footer="0.5"/>
  <pageSetup paperSize="9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7D4F9-2070-4C75-AF89-65068BD2ED29}">
  <dimension ref="A4:AJ28"/>
  <sheetViews>
    <sheetView topLeftCell="A10" zoomScale="136" zoomScaleNormal="136" workbookViewId="0">
      <selection activeCell="E24" sqref="E24"/>
    </sheetView>
  </sheetViews>
  <sheetFormatPr defaultRowHeight="13.2" x14ac:dyDescent="0.25"/>
  <cols>
    <col min="1" max="1" width="5.5546875" customWidth="1"/>
    <col min="4" max="4" width="5.109375" customWidth="1"/>
    <col min="5" max="5" width="44.6640625" style="6" customWidth="1"/>
    <col min="6" max="6" width="19.88671875" bestFit="1" customWidth="1"/>
    <col min="7" max="7" width="13" style="6" customWidth="1"/>
    <col min="8" max="8" width="6.109375" customWidth="1"/>
  </cols>
  <sheetData>
    <row r="4" spans="1:22" ht="21" x14ac:dyDescent="0.4">
      <c r="A4" s="75" t="s">
        <v>36</v>
      </c>
      <c r="B4" s="75"/>
      <c r="C4" s="75"/>
      <c r="D4" s="75"/>
      <c r="E4" s="75"/>
      <c r="F4" s="75"/>
      <c r="G4" s="75"/>
      <c r="H4" s="75"/>
      <c r="I4" s="75"/>
      <c r="J4" s="75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 spans="1:22" ht="20.399999999999999" x14ac:dyDescent="0.35">
      <c r="A5" s="3"/>
      <c r="B5" s="3"/>
      <c r="C5" s="3"/>
      <c r="D5" s="3"/>
      <c r="E5" s="4"/>
      <c r="F5" s="3"/>
      <c r="G5" s="4"/>
      <c r="H5" s="3"/>
      <c r="I5" s="3"/>
      <c r="J5" s="3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</row>
    <row r="6" spans="1:22" ht="21" x14ac:dyDescent="0.4">
      <c r="A6" s="75" t="s">
        <v>32</v>
      </c>
      <c r="B6" s="75"/>
      <c r="C6" s="75"/>
      <c r="D6" s="75"/>
      <c r="E6" s="75"/>
      <c r="F6" s="75"/>
      <c r="G6" s="75"/>
      <c r="H6" s="75"/>
      <c r="I6" s="75"/>
      <c r="J6" s="75"/>
    </row>
    <row r="7" spans="1:22" ht="17.399999999999999" x14ac:dyDescent="0.3">
      <c r="A7" s="76" t="s">
        <v>0</v>
      </c>
      <c r="B7" s="76"/>
      <c r="C7" s="76"/>
      <c r="D7" s="76"/>
      <c r="E7" s="76"/>
      <c r="F7" s="76"/>
      <c r="G7" s="76"/>
      <c r="H7" s="76"/>
      <c r="I7" s="76"/>
      <c r="J7" s="76"/>
    </row>
    <row r="9" spans="1:22" ht="22.8" x14ac:dyDescent="0.4">
      <c r="A9" s="72" t="s">
        <v>28</v>
      </c>
      <c r="B9" s="72"/>
      <c r="C9" s="72"/>
      <c r="D9" s="72"/>
      <c r="E9" s="72"/>
      <c r="F9" s="72"/>
      <c r="G9" s="72"/>
      <c r="H9" s="72"/>
      <c r="I9" s="72"/>
      <c r="J9" s="72"/>
    </row>
    <row r="10" spans="1:22" ht="18" customHeight="1" x14ac:dyDescent="0.4">
      <c r="A10" s="7"/>
      <c r="B10" s="7"/>
      <c r="C10" s="7"/>
      <c r="D10" s="7"/>
      <c r="E10" s="8"/>
      <c r="F10" s="7"/>
      <c r="G10" s="8"/>
      <c r="H10" s="7"/>
      <c r="I10" s="7"/>
      <c r="J10" s="7"/>
      <c r="K10" t="s">
        <v>25</v>
      </c>
    </row>
    <row r="11" spans="1:22" s="9" customFormat="1" ht="17.399999999999999" x14ac:dyDescent="0.3">
      <c r="A11" s="76" t="s">
        <v>35</v>
      </c>
      <c r="B11" s="76"/>
      <c r="C11" s="76"/>
      <c r="D11" s="76"/>
      <c r="E11" s="76"/>
      <c r="F11" s="76"/>
      <c r="G11" s="76"/>
      <c r="H11" s="76"/>
      <c r="I11" s="76"/>
      <c r="J11" s="76"/>
    </row>
    <row r="12" spans="1:22" ht="13.95" customHeight="1" x14ac:dyDescent="0.25"/>
    <row r="13" spans="1:22" ht="17.399999999999999" x14ac:dyDescent="0.3">
      <c r="B13" s="10" t="s">
        <v>1</v>
      </c>
      <c r="D13" s="11"/>
      <c r="E13" s="12" t="s">
        <v>39</v>
      </c>
      <c r="F13" s="20" t="s">
        <v>31</v>
      </c>
      <c r="G13" s="32" t="s">
        <v>40</v>
      </c>
      <c r="H13" s="9"/>
      <c r="I13" s="9"/>
      <c r="J13" s="9"/>
    </row>
    <row r="14" spans="1:22" ht="17.399999999999999" x14ac:dyDescent="0.3">
      <c r="B14" s="10"/>
      <c r="D14" s="9"/>
      <c r="E14" s="13"/>
      <c r="F14" s="9"/>
      <c r="G14" s="13"/>
      <c r="H14" s="9"/>
      <c r="I14" s="9"/>
      <c r="J14" s="9"/>
    </row>
    <row r="15" spans="1:22" ht="17.399999999999999" customHeight="1" x14ac:dyDescent="0.3">
      <c r="B15" s="9" t="s">
        <v>2</v>
      </c>
      <c r="D15" s="9"/>
      <c r="E15" s="12" t="s">
        <v>41</v>
      </c>
      <c r="F15" s="20" t="s">
        <v>30</v>
      </c>
      <c r="G15" s="14">
        <v>38100</v>
      </c>
      <c r="H15" s="9"/>
      <c r="I15" s="9"/>
      <c r="J15" s="9"/>
    </row>
    <row r="16" spans="1:22" ht="17.399999999999999" customHeight="1" x14ac:dyDescent="0.3">
      <c r="D16" s="9"/>
      <c r="E16" s="13"/>
      <c r="F16" s="9"/>
      <c r="G16" s="13"/>
      <c r="H16" s="9"/>
      <c r="I16" s="9"/>
      <c r="J16" s="9"/>
    </row>
    <row r="17" spans="1:36" ht="17.399999999999999" x14ac:dyDescent="0.3">
      <c r="A17" s="5"/>
      <c r="B17" s="10" t="s">
        <v>3</v>
      </c>
      <c r="C17" s="15"/>
      <c r="D17" s="5"/>
      <c r="E17" s="16">
        <v>275</v>
      </c>
      <c r="F17" s="5"/>
      <c r="G17" s="13"/>
      <c r="H17" s="5"/>
      <c r="I17" s="5"/>
      <c r="J17" s="5"/>
    </row>
    <row r="18" spans="1:36" ht="17.399999999999999" hidden="1" x14ac:dyDescent="0.3">
      <c r="A18" s="5"/>
      <c r="B18" s="5"/>
      <c r="C18" s="5"/>
      <c r="D18" s="5"/>
      <c r="E18" s="13"/>
      <c r="F18" s="5"/>
      <c r="G18" s="13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</row>
    <row r="19" spans="1:36" ht="17.399999999999999" x14ac:dyDescent="0.3">
      <c r="A19" s="5"/>
      <c r="D19" s="5"/>
      <c r="E19" s="13"/>
      <c r="F19" s="5"/>
      <c r="G19" s="13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</row>
    <row r="20" spans="1:36" ht="18" customHeight="1" x14ac:dyDescent="0.4">
      <c r="A20" s="17" t="s">
        <v>4</v>
      </c>
      <c r="B20" s="9" t="s">
        <v>33</v>
      </c>
      <c r="D20" s="17"/>
      <c r="E20" s="33" t="s">
        <v>28</v>
      </c>
    </row>
    <row r="21" spans="1:36" ht="17.399999999999999" customHeight="1" x14ac:dyDescent="0.4">
      <c r="B21" s="10"/>
      <c r="D21" s="10"/>
      <c r="E21" s="13" t="s">
        <v>5</v>
      </c>
      <c r="F21" s="17"/>
      <c r="G21" s="6" t="s">
        <v>6</v>
      </c>
      <c r="I21" s="17"/>
    </row>
    <row r="22" spans="1:36" ht="17.399999999999999" hidden="1" x14ac:dyDescent="0.3">
      <c r="B22" s="10" t="s">
        <v>7</v>
      </c>
      <c r="E22" s="13"/>
      <c r="J22" t="s">
        <v>8</v>
      </c>
    </row>
    <row r="23" spans="1:36" ht="17.399999999999999" customHeight="1" x14ac:dyDescent="0.4">
      <c r="B23" s="10" t="s">
        <v>9</v>
      </c>
      <c r="C23" s="17"/>
      <c r="E23" s="12"/>
      <c r="F23" t="s">
        <v>10</v>
      </c>
      <c r="G23" s="6" t="s">
        <v>11</v>
      </c>
    </row>
    <row r="24" spans="1:36" ht="17.399999999999999" x14ac:dyDescent="0.3">
      <c r="E24" s="13"/>
    </row>
    <row r="25" spans="1:36" ht="17.399999999999999" x14ac:dyDescent="0.3">
      <c r="B25" s="10"/>
      <c r="E25" s="1"/>
    </row>
    <row r="26" spans="1:36" x14ac:dyDescent="0.25">
      <c r="G26" t="s">
        <v>37</v>
      </c>
    </row>
    <row r="27" spans="1:36" x14ac:dyDescent="0.25">
      <c r="G27" s="6" t="s">
        <v>12</v>
      </c>
      <c r="J27" s="18"/>
    </row>
    <row r="28" spans="1:36" x14ac:dyDescent="0.25">
      <c r="A28" s="19" t="s">
        <v>26</v>
      </c>
      <c r="F28" t="s">
        <v>13</v>
      </c>
    </row>
  </sheetData>
  <mergeCells count="5">
    <mergeCell ref="A4:J4"/>
    <mergeCell ref="A6:J6"/>
    <mergeCell ref="A7:J7"/>
    <mergeCell ref="A9:J9"/>
    <mergeCell ref="A11:J11"/>
  </mergeCells>
  <pageMargins left="0.75" right="0.75" top="1" bottom="1" header="0.5" footer="0.5"/>
  <pageSetup paperSize="9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BCBAC-E3DF-4AC4-941E-5B0FE1E4AC60}">
  <dimension ref="A1:N121"/>
  <sheetViews>
    <sheetView tabSelected="1" zoomScale="102" workbookViewId="0">
      <selection activeCell="P77" sqref="P77"/>
    </sheetView>
  </sheetViews>
  <sheetFormatPr defaultRowHeight="13.2" x14ac:dyDescent="0.25"/>
  <cols>
    <col min="4" max="4" width="11" customWidth="1"/>
    <col min="5" max="5" width="10.109375" bestFit="1" customWidth="1"/>
    <col min="6" max="6" width="4.88671875" customWidth="1"/>
    <col min="7" max="7" width="8.88671875" hidden="1" customWidth="1"/>
    <col min="8" max="8" width="8.6640625" customWidth="1"/>
    <col min="12" max="12" width="11" customWidth="1"/>
    <col min="14" max="14" width="13" customWidth="1"/>
  </cols>
  <sheetData>
    <row r="1" spans="1:14" ht="13.8" thickBot="1" x14ac:dyDescent="0.3"/>
    <row r="2" spans="1:14" ht="27.75" customHeight="1" thickBot="1" x14ac:dyDescent="0.3">
      <c r="A2" s="49" t="s">
        <v>16</v>
      </c>
      <c r="B2" s="50"/>
      <c r="C2" s="50"/>
      <c r="D2" s="51"/>
      <c r="E2" s="55" t="s">
        <v>17</v>
      </c>
      <c r="F2" s="56"/>
      <c r="G2" s="57"/>
      <c r="H2" s="61" t="s">
        <v>18</v>
      </c>
      <c r="I2" s="62"/>
      <c r="J2" s="63" t="s">
        <v>19</v>
      </c>
      <c r="K2" s="65" t="s">
        <v>20</v>
      </c>
      <c r="L2" s="66"/>
      <c r="M2" s="65" t="s">
        <v>38</v>
      </c>
      <c r="N2" s="66"/>
    </row>
    <row r="3" spans="1:14" ht="24.75" customHeight="1" thickBot="1" x14ac:dyDescent="0.3">
      <c r="A3" s="52"/>
      <c r="B3" s="53"/>
      <c r="C3" s="53"/>
      <c r="D3" s="54"/>
      <c r="E3" s="58"/>
      <c r="F3" s="59"/>
      <c r="G3" s="60"/>
      <c r="H3" s="23" t="s">
        <v>21</v>
      </c>
      <c r="I3" s="23" t="s">
        <v>22</v>
      </c>
      <c r="J3" s="64"/>
      <c r="K3" s="67"/>
      <c r="L3" s="68"/>
      <c r="M3" s="67"/>
      <c r="N3" s="68"/>
    </row>
    <row r="4" spans="1:14" ht="24.75" customHeight="1" thickBot="1" x14ac:dyDescent="0.3">
      <c r="A4" s="24" t="s">
        <v>42</v>
      </c>
      <c r="B4" s="25"/>
      <c r="C4" s="25"/>
      <c r="D4" s="26"/>
      <c r="E4" s="34">
        <v>46127</v>
      </c>
      <c r="F4" s="25"/>
      <c r="G4" s="26"/>
      <c r="H4" s="35">
        <v>0.66666666666666663</v>
      </c>
      <c r="I4" s="36">
        <v>0.75</v>
      </c>
      <c r="J4" s="45">
        <f>(I4-H4)*24</f>
        <v>2.0000000000000009</v>
      </c>
      <c r="K4" s="47" t="e" vm="1">
        <v>#VALUE!</v>
      </c>
      <c r="L4" s="48"/>
      <c r="M4" s="24"/>
      <c r="N4" s="26"/>
    </row>
    <row r="5" spans="1:14" ht="24.75" customHeight="1" thickBot="1" x14ac:dyDescent="0.3">
      <c r="A5" t="s">
        <v>43</v>
      </c>
      <c r="B5" s="28"/>
      <c r="C5" s="37"/>
      <c r="D5" s="29"/>
      <c r="E5" s="38">
        <v>46132</v>
      </c>
      <c r="F5" s="28"/>
      <c r="G5" s="29"/>
      <c r="H5" s="39">
        <v>0.625</v>
      </c>
      <c r="I5" s="40">
        <v>0.75</v>
      </c>
      <c r="J5" s="45">
        <f t="shared" ref="J5:J65" si="0">(I5-H5)*24</f>
        <v>3</v>
      </c>
      <c r="K5" s="47" t="e" vm="1">
        <v>#VALUE!</v>
      </c>
      <c r="L5" s="48"/>
      <c r="M5" s="27"/>
      <c r="N5" s="29"/>
    </row>
    <row r="6" spans="1:14" ht="24.75" customHeight="1" thickBot="1" x14ac:dyDescent="0.3">
      <c r="A6" s="27" t="s">
        <v>44</v>
      </c>
      <c r="B6" s="28"/>
      <c r="C6" s="28"/>
      <c r="D6" s="29"/>
      <c r="E6" s="38">
        <v>46133</v>
      </c>
      <c r="F6" s="28"/>
      <c r="G6" s="29"/>
      <c r="H6" s="39">
        <v>0.66666666666666663</v>
      </c>
      <c r="I6" s="40">
        <v>0.75</v>
      </c>
      <c r="J6" s="45">
        <f t="shared" si="0"/>
        <v>2.0000000000000009</v>
      </c>
      <c r="K6" s="47" t="e" vm="1">
        <v>#VALUE!</v>
      </c>
      <c r="L6" s="48"/>
      <c r="M6" s="27"/>
      <c r="N6" s="29"/>
    </row>
    <row r="7" spans="1:14" ht="24.75" customHeight="1" thickBot="1" x14ac:dyDescent="0.3">
      <c r="A7" s="27" t="s">
        <v>44</v>
      </c>
      <c r="B7" s="28"/>
      <c r="C7" s="28"/>
      <c r="D7" s="29"/>
      <c r="E7" s="42">
        <v>46134</v>
      </c>
      <c r="F7" s="30"/>
      <c r="G7" s="29"/>
      <c r="H7" s="39">
        <v>0.41666666666666669</v>
      </c>
      <c r="I7" s="40">
        <v>0.54166666666666663</v>
      </c>
      <c r="J7" s="45">
        <f t="shared" si="0"/>
        <v>2.9999999999999987</v>
      </c>
      <c r="K7" s="47" t="e" vm="1">
        <v>#VALUE!</v>
      </c>
      <c r="L7" s="48"/>
      <c r="M7" s="27"/>
      <c r="N7" s="29"/>
    </row>
    <row r="8" spans="1:14" ht="24.75" customHeight="1" thickBot="1" x14ac:dyDescent="0.3">
      <c r="A8" s="27" t="s">
        <v>44</v>
      </c>
      <c r="B8" s="28"/>
      <c r="C8" s="28"/>
      <c r="D8" s="28"/>
      <c r="E8" s="38">
        <v>46139</v>
      </c>
      <c r="F8" s="29"/>
      <c r="G8" s="29"/>
      <c r="H8" s="39">
        <v>0.375</v>
      </c>
      <c r="I8" s="39">
        <v>0.45833333333333331</v>
      </c>
      <c r="J8" s="45">
        <f t="shared" si="0"/>
        <v>1.9999999999999996</v>
      </c>
      <c r="K8" s="47" t="e" vm="1">
        <v>#VALUE!</v>
      </c>
      <c r="L8" s="48"/>
      <c r="M8" s="28"/>
      <c r="N8" s="29"/>
    </row>
    <row r="9" spans="1:14" ht="24.75" customHeight="1" thickBot="1" x14ac:dyDescent="0.3">
      <c r="A9" s="27" t="s">
        <v>44</v>
      </c>
      <c r="B9" s="28"/>
      <c r="C9" s="28"/>
      <c r="D9" s="29"/>
      <c r="E9" s="34">
        <v>46139</v>
      </c>
      <c r="F9" s="25"/>
      <c r="G9" s="29"/>
      <c r="H9" s="39">
        <v>0.625</v>
      </c>
      <c r="I9" s="40">
        <v>0.75</v>
      </c>
      <c r="J9" s="45">
        <f t="shared" si="0"/>
        <v>3</v>
      </c>
      <c r="K9" s="47" t="e" vm="1">
        <v>#VALUE!</v>
      </c>
      <c r="L9" s="48"/>
      <c r="M9" s="27"/>
      <c r="N9" s="29"/>
    </row>
    <row r="10" spans="1:14" ht="24.75" customHeight="1" thickBot="1" x14ac:dyDescent="0.3">
      <c r="A10" s="41" t="s">
        <v>45</v>
      </c>
      <c r="B10" s="28"/>
      <c r="C10" s="28"/>
      <c r="D10" s="29"/>
      <c r="E10" s="38">
        <v>46140</v>
      </c>
      <c r="F10" s="28"/>
      <c r="G10" s="29"/>
      <c r="H10" s="39">
        <v>0.66666666666666663</v>
      </c>
      <c r="I10" s="40">
        <v>0.75</v>
      </c>
      <c r="J10" s="45">
        <f t="shared" si="0"/>
        <v>2.0000000000000009</v>
      </c>
      <c r="K10" s="47" t="e" vm="1">
        <v>#VALUE!</v>
      </c>
      <c r="L10" s="48"/>
      <c r="M10" s="27"/>
      <c r="N10" s="29"/>
    </row>
    <row r="11" spans="1:14" ht="24.75" customHeight="1" thickBot="1" x14ac:dyDescent="0.3">
      <c r="A11" s="41" t="s">
        <v>45</v>
      </c>
      <c r="B11" s="28"/>
      <c r="C11" s="28"/>
      <c r="D11" s="29"/>
      <c r="E11" s="38">
        <v>46141</v>
      </c>
      <c r="F11" s="28"/>
      <c r="G11" s="29"/>
      <c r="H11" s="39">
        <v>0.66666666666666663</v>
      </c>
      <c r="I11" s="40">
        <v>0.75</v>
      </c>
      <c r="J11" s="45">
        <f t="shared" si="0"/>
        <v>2.0000000000000009</v>
      </c>
      <c r="K11" s="47" t="e" vm="1">
        <v>#VALUE!</v>
      </c>
      <c r="L11" s="48"/>
      <c r="M11" s="27"/>
      <c r="N11" s="29"/>
    </row>
    <row r="12" spans="1:14" ht="24.75" customHeight="1" thickBot="1" x14ac:dyDescent="0.3">
      <c r="A12" s="27" t="s">
        <v>45</v>
      </c>
      <c r="B12" s="28"/>
      <c r="C12" s="28"/>
      <c r="D12" s="29"/>
      <c r="E12" s="38">
        <v>46146</v>
      </c>
      <c r="F12" s="28"/>
      <c r="G12" s="29"/>
      <c r="H12" s="39">
        <v>0.625</v>
      </c>
      <c r="I12" s="40">
        <v>0.75</v>
      </c>
      <c r="J12" s="45">
        <f t="shared" si="0"/>
        <v>3</v>
      </c>
      <c r="K12" s="47" t="e" vm="1">
        <v>#VALUE!</v>
      </c>
      <c r="L12" s="48"/>
      <c r="M12" s="27"/>
      <c r="N12" s="29"/>
    </row>
    <row r="13" spans="1:14" ht="24.75" customHeight="1" thickBot="1" x14ac:dyDescent="0.3">
      <c r="A13" s="27" t="s">
        <v>45</v>
      </c>
      <c r="B13" s="28"/>
      <c r="C13" s="28"/>
      <c r="D13" s="29"/>
      <c r="E13" s="38">
        <v>46148</v>
      </c>
      <c r="F13" s="28"/>
      <c r="G13" s="29"/>
      <c r="H13" s="39">
        <v>0.375</v>
      </c>
      <c r="I13" s="40">
        <v>0.5</v>
      </c>
      <c r="J13" s="45">
        <f t="shared" si="0"/>
        <v>3</v>
      </c>
      <c r="K13" s="47" t="e" vm="1">
        <v>#VALUE!</v>
      </c>
      <c r="L13" s="48"/>
      <c r="M13" s="27"/>
      <c r="N13" s="29"/>
    </row>
    <row r="14" spans="1:14" ht="24.75" customHeight="1" thickBot="1" x14ac:dyDescent="0.3">
      <c r="A14" s="27" t="s">
        <v>45</v>
      </c>
      <c r="B14" s="28"/>
      <c r="C14" s="28"/>
      <c r="D14" s="29"/>
      <c r="E14" s="38">
        <v>46148</v>
      </c>
      <c r="F14" s="28"/>
      <c r="G14" s="29"/>
      <c r="H14" s="39">
        <v>0.625</v>
      </c>
      <c r="I14" s="40">
        <v>0.75</v>
      </c>
      <c r="J14" s="45">
        <f t="shared" si="0"/>
        <v>3</v>
      </c>
      <c r="K14" s="47" t="e" vm="1">
        <v>#VALUE!</v>
      </c>
      <c r="L14" s="48"/>
      <c r="M14" s="27"/>
      <c r="N14" s="29"/>
    </row>
    <row r="15" spans="1:14" ht="24.75" customHeight="1" thickBot="1" x14ac:dyDescent="0.3">
      <c r="A15" s="41" t="s">
        <v>45</v>
      </c>
      <c r="B15" s="28"/>
      <c r="C15" s="28"/>
      <c r="D15" s="29"/>
      <c r="E15" s="38">
        <v>46150</v>
      </c>
      <c r="F15" s="28"/>
      <c r="G15" s="29"/>
      <c r="H15" s="39">
        <v>0.625</v>
      </c>
      <c r="I15" s="40">
        <v>0.70833333333333337</v>
      </c>
      <c r="J15" s="45">
        <f t="shared" si="0"/>
        <v>2.0000000000000009</v>
      </c>
      <c r="K15" s="47" t="e" vm="1">
        <v>#VALUE!</v>
      </c>
      <c r="L15" s="48"/>
      <c r="M15" s="27"/>
      <c r="N15" s="29"/>
    </row>
    <row r="16" spans="1:14" ht="24.75" customHeight="1" thickBot="1" x14ac:dyDescent="0.3">
      <c r="A16" s="27" t="s">
        <v>45</v>
      </c>
      <c r="B16" s="28"/>
      <c r="C16" s="28"/>
      <c r="D16" s="29"/>
      <c r="E16" s="38">
        <v>46153</v>
      </c>
      <c r="F16" s="28"/>
      <c r="G16" s="29"/>
      <c r="H16" s="39">
        <v>0.375</v>
      </c>
      <c r="I16" s="40">
        <v>0.5</v>
      </c>
      <c r="J16" s="45">
        <f t="shared" si="0"/>
        <v>3</v>
      </c>
      <c r="K16" s="47" t="e" vm="1">
        <v>#VALUE!</v>
      </c>
      <c r="L16" s="48"/>
      <c r="M16" s="27"/>
      <c r="N16" s="29"/>
    </row>
    <row r="17" spans="1:14" ht="24.75" customHeight="1" thickBot="1" x14ac:dyDescent="0.3">
      <c r="A17" s="27" t="s">
        <v>45</v>
      </c>
      <c r="B17" s="28"/>
      <c r="C17" s="28"/>
      <c r="D17" s="29"/>
      <c r="E17" s="42">
        <v>46153</v>
      </c>
      <c r="F17" s="30"/>
      <c r="G17" s="31"/>
      <c r="H17" s="39">
        <v>0.625</v>
      </c>
      <c r="I17" s="40">
        <v>0.75</v>
      </c>
      <c r="J17" s="45">
        <f t="shared" si="0"/>
        <v>3</v>
      </c>
      <c r="K17" s="47" t="e" vm="1">
        <v>#VALUE!</v>
      </c>
      <c r="L17" s="48"/>
      <c r="M17" s="27"/>
      <c r="N17" s="29"/>
    </row>
    <row r="18" spans="1:14" ht="24.75" customHeight="1" thickBot="1" x14ac:dyDescent="0.3">
      <c r="A18" s="27" t="s">
        <v>45</v>
      </c>
      <c r="B18" s="28"/>
      <c r="C18" s="28"/>
      <c r="D18" s="29"/>
      <c r="E18" s="38">
        <v>46155</v>
      </c>
      <c r="F18" s="28"/>
      <c r="G18" s="29"/>
      <c r="H18" s="39">
        <v>0.41666666666666669</v>
      </c>
      <c r="I18" s="40">
        <v>0.5</v>
      </c>
      <c r="J18" s="45">
        <f t="shared" si="0"/>
        <v>1.9999999999999996</v>
      </c>
      <c r="K18" s="47" t="e" vm="1">
        <v>#VALUE!</v>
      </c>
      <c r="L18" s="48"/>
      <c r="M18" s="27"/>
      <c r="N18" s="29"/>
    </row>
    <row r="19" spans="1:14" ht="24.75" customHeight="1" thickBot="1" x14ac:dyDescent="0.3">
      <c r="A19" s="27" t="s">
        <v>45</v>
      </c>
      <c r="B19" s="28"/>
      <c r="C19" s="28"/>
      <c r="D19" s="29"/>
      <c r="E19" s="38">
        <v>46157</v>
      </c>
      <c r="F19" s="28"/>
      <c r="G19" s="29"/>
      <c r="H19" s="39">
        <v>0.625</v>
      </c>
      <c r="I19" s="40">
        <v>0.75</v>
      </c>
      <c r="J19" s="45">
        <f t="shared" si="0"/>
        <v>3</v>
      </c>
      <c r="K19" s="47" t="e" vm="1">
        <v>#VALUE!</v>
      </c>
      <c r="L19" s="48"/>
      <c r="M19" s="27"/>
      <c r="N19" s="29"/>
    </row>
    <row r="20" spans="1:14" ht="24.75" customHeight="1" thickBot="1" x14ac:dyDescent="0.3">
      <c r="A20" s="27" t="s">
        <v>45</v>
      </c>
      <c r="B20" s="28"/>
      <c r="C20" s="28"/>
      <c r="D20" s="29"/>
      <c r="E20" s="38">
        <v>46161</v>
      </c>
      <c r="F20" s="28"/>
      <c r="G20" s="29"/>
      <c r="H20" s="39">
        <v>0.375</v>
      </c>
      <c r="I20" s="40">
        <v>0.5</v>
      </c>
      <c r="J20" s="45">
        <f t="shared" si="0"/>
        <v>3</v>
      </c>
      <c r="K20" s="47" t="e" vm="1">
        <v>#VALUE!</v>
      </c>
      <c r="L20" s="48"/>
      <c r="M20" s="27"/>
      <c r="N20" s="29"/>
    </row>
    <row r="21" spans="1:14" ht="24.75" customHeight="1" thickBot="1" x14ac:dyDescent="0.3">
      <c r="A21" s="27" t="s">
        <v>45</v>
      </c>
      <c r="B21" s="28"/>
      <c r="C21" s="28"/>
      <c r="D21" s="29"/>
      <c r="E21" s="38">
        <v>46162</v>
      </c>
      <c r="F21" s="28"/>
      <c r="G21" s="29"/>
      <c r="H21" s="39">
        <v>0.375</v>
      </c>
      <c r="I21" s="40">
        <v>0.54166666666666663</v>
      </c>
      <c r="J21" s="45">
        <f t="shared" si="0"/>
        <v>3.9999999999999991</v>
      </c>
      <c r="K21" s="47" t="e" vm="1">
        <v>#VALUE!</v>
      </c>
      <c r="L21" s="48"/>
      <c r="M21" s="27"/>
      <c r="N21" s="29"/>
    </row>
    <row r="22" spans="1:14" ht="24.75" customHeight="1" thickBot="1" x14ac:dyDescent="0.3">
      <c r="A22" s="27" t="s">
        <v>45</v>
      </c>
      <c r="B22" s="28"/>
      <c r="C22" s="28"/>
      <c r="D22" s="29"/>
      <c r="E22" s="38">
        <v>46163</v>
      </c>
      <c r="F22" s="28"/>
      <c r="G22" s="29"/>
      <c r="H22" s="39">
        <v>0.375</v>
      </c>
      <c r="I22" s="40">
        <v>0.5</v>
      </c>
      <c r="J22" s="45">
        <f t="shared" si="0"/>
        <v>3</v>
      </c>
      <c r="K22" s="47" t="e" vm="1">
        <v>#VALUE!</v>
      </c>
      <c r="L22" s="48"/>
      <c r="M22" s="27"/>
      <c r="N22" s="29"/>
    </row>
    <row r="23" spans="1:14" ht="24.75" customHeight="1" thickBot="1" x14ac:dyDescent="0.3">
      <c r="A23" s="27" t="s">
        <v>45</v>
      </c>
      <c r="B23" s="28"/>
      <c r="C23" s="28"/>
      <c r="D23" s="29"/>
      <c r="E23" s="38">
        <v>46164</v>
      </c>
      <c r="F23" s="28"/>
      <c r="G23" s="29"/>
      <c r="H23" s="39">
        <v>0.625</v>
      </c>
      <c r="I23" s="40">
        <v>0.70833333333333337</v>
      </c>
      <c r="J23" s="45">
        <f t="shared" si="0"/>
        <v>2.0000000000000009</v>
      </c>
      <c r="K23" s="47" t="e" vm="1">
        <v>#VALUE!</v>
      </c>
      <c r="L23" s="48"/>
      <c r="M23" s="27"/>
      <c r="N23" s="29"/>
    </row>
    <row r="24" spans="1:14" ht="24.75" customHeight="1" thickBot="1" x14ac:dyDescent="0.3">
      <c r="A24" s="27" t="s">
        <v>45</v>
      </c>
      <c r="B24" s="28"/>
      <c r="C24" s="28"/>
      <c r="D24" s="29"/>
      <c r="E24" s="38">
        <v>46167</v>
      </c>
      <c r="F24" s="28"/>
      <c r="G24" s="29"/>
      <c r="H24" s="39">
        <v>0.375</v>
      </c>
      <c r="I24" s="40">
        <v>0.54166666666666663</v>
      </c>
      <c r="J24" s="45">
        <f t="shared" si="0"/>
        <v>3.9999999999999991</v>
      </c>
      <c r="K24" s="47" t="e" vm="1">
        <v>#VALUE!</v>
      </c>
      <c r="L24" s="48"/>
      <c r="M24" s="27"/>
      <c r="N24" s="29"/>
    </row>
    <row r="25" spans="1:14" ht="24.75" customHeight="1" thickBot="1" x14ac:dyDescent="0.3">
      <c r="A25" s="27" t="s">
        <v>45</v>
      </c>
      <c r="B25" s="28"/>
      <c r="C25" s="28"/>
      <c r="D25" s="29"/>
      <c r="E25" s="43">
        <v>46167</v>
      </c>
      <c r="F25" s="28"/>
      <c r="G25" s="29"/>
      <c r="H25" s="39">
        <v>0.66666666666666663</v>
      </c>
      <c r="I25" s="40">
        <v>0.75</v>
      </c>
      <c r="J25" s="45">
        <f t="shared" si="0"/>
        <v>2.0000000000000009</v>
      </c>
      <c r="K25" s="47" t="e" vm="1">
        <v>#VALUE!</v>
      </c>
      <c r="L25" s="48"/>
      <c r="M25" s="27"/>
      <c r="N25" s="29"/>
    </row>
    <row r="26" spans="1:14" ht="24.75" customHeight="1" thickBot="1" x14ac:dyDescent="0.3">
      <c r="A26" s="27" t="s">
        <v>45</v>
      </c>
      <c r="B26" s="28"/>
      <c r="C26" s="28"/>
      <c r="D26" s="29"/>
      <c r="E26" s="43">
        <v>46169</v>
      </c>
      <c r="F26" s="28"/>
      <c r="G26" s="29"/>
      <c r="H26" s="39">
        <v>0.375</v>
      </c>
      <c r="I26" s="40">
        <v>0.54166666666666663</v>
      </c>
      <c r="J26" s="45">
        <f t="shared" si="0"/>
        <v>3.9999999999999991</v>
      </c>
      <c r="K26" s="47" t="e" vm="1">
        <v>#VALUE!</v>
      </c>
      <c r="L26" s="48"/>
      <c r="M26" s="27"/>
      <c r="N26" s="29"/>
    </row>
    <row r="27" spans="1:14" ht="24.75" customHeight="1" thickBot="1" x14ac:dyDescent="0.3">
      <c r="A27" s="27" t="s">
        <v>45</v>
      </c>
      <c r="B27" s="28"/>
      <c r="C27" s="28"/>
      <c r="D27" s="29"/>
      <c r="E27" s="43">
        <v>46170</v>
      </c>
      <c r="F27" s="28"/>
      <c r="G27" s="29"/>
      <c r="H27" s="39">
        <v>0.375</v>
      </c>
      <c r="I27" s="44">
        <v>0.54166666666666663</v>
      </c>
      <c r="J27" s="45">
        <f t="shared" si="0"/>
        <v>3.9999999999999991</v>
      </c>
      <c r="K27" s="47" t="e" vm="1">
        <v>#VALUE!</v>
      </c>
      <c r="L27" s="48"/>
      <c r="M27" s="27"/>
      <c r="N27" s="29"/>
    </row>
    <row r="28" spans="1:14" ht="24.75" customHeight="1" thickBot="1" x14ac:dyDescent="0.3">
      <c r="A28" s="27" t="s">
        <v>45</v>
      </c>
      <c r="B28" s="28"/>
      <c r="C28" s="28"/>
      <c r="D28" s="29"/>
      <c r="E28" s="43">
        <v>46171</v>
      </c>
      <c r="F28" s="28"/>
      <c r="G28" s="29"/>
      <c r="H28" s="39">
        <v>0.625</v>
      </c>
      <c r="I28" s="40">
        <v>0.75</v>
      </c>
      <c r="J28" s="45">
        <f t="shared" si="0"/>
        <v>3</v>
      </c>
      <c r="K28" s="47" t="e" vm="1">
        <v>#VALUE!</v>
      </c>
      <c r="L28" s="48"/>
      <c r="M28" s="27"/>
      <c r="N28" s="29"/>
    </row>
    <row r="29" spans="1:14" ht="24.75" customHeight="1" thickBot="1" x14ac:dyDescent="0.3">
      <c r="A29" s="27" t="s">
        <v>45</v>
      </c>
      <c r="B29" s="28"/>
      <c r="C29" s="28"/>
      <c r="D29" s="29"/>
      <c r="E29" s="43">
        <v>46176</v>
      </c>
      <c r="F29" s="28"/>
      <c r="G29" s="29"/>
      <c r="H29" s="39">
        <v>0.45833333333333331</v>
      </c>
      <c r="I29" s="40">
        <v>0.54166666666666663</v>
      </c>
      <c r="J29" s="45">
        <f t="shared" si="0"/>
        <v>1.9999999999999996</v>
      </c>
      <c r="K29" s="47" t="e" vm="1">
        <v>#VALUE!</v>
      </c>
      <c r="L29" s="48"/>
      <c r="M29" s="27"/>
      <c r="N29" s="29"/>
    </row>
    <row r="30" spans="1:14" ht="24.75" customHeight="1" thickBot="1" x14ac:dyDescent="0.3">
      <c r="A30" s="27" t="s">
        <v>45</v>
      </c>
      <c r="B30" s="28"/>
      <c r="C30" s="28"/>
      <c r="D30" s="29"/>
      <c r="E30" s="43">
        <v>46176</v>
      </c>
      <c r="F30" s="28"/>
      <c r="G30" s="29"/>
      <c r="H30" s="39">
        <v>0.625</v>
      </c>
      <c r="I30" s="40">
        <v>0.75</v>
      </c>
      <c r="J30" s="45">
        <f t="shared" si="0"/>
        <v>3</v>
      </c>
      <c r="K30" s="47" t="e" vm="1">
        <v>#VALUE!</v>
      </c>
      <c r="L30" s="48"/>
      <c r="M30" s="27"/>
      <c r="N30" s="29"/>
    </row>
    <row r="31" spans="1:14" ht="24.75" customHeight="1" thickBot="1" x14ac:dyDescent="0.3">
      <c r="A31" s="27" t="s">
        <v>45</v>
      </c>
      <c r="B31" s="28"/>
      <c r="C31" s="28"/>
      <c r="D31" s="29"/>
      <c r="E31" s="43">
        <v>46177</v>
      </c>
      <c r="F31" s="28"/>
      <c r="G31" s="29"/>
      <c r="H31" s="39">
        <v>0.41666666666666669</v>
      </c>
      <c r="I31" s="40">
        <v>0.54166666666666663</v>
      </c>
      <c r="J31" s="45">
        <f t="shared" si="0"/>
        <v>2.9999999999999987</v>
      </c>
      <c r="K31" s="47" t="e" vm="1">
        <v>#VALUE!</v>
      </c>
      <c r="L31" s="48"/>
      <c r="M31" s="27"/>
      <c r="N31" s="29"/>
    </row>
    <row r="32" spans="1:14" ht="24.75" customHeight="1" thickBot="1" x14ac:dyDescent="0.3">
      <c r="A32" s="27" t="s">
        <v>45</v>
      </c>
      <c r="B32" s="28"/>
      <c r="C32" s="28"/>
      <c r="D32" s="29"/>
      <c r="E32" s="43">
        <v>46177</v>
      </c>
      <c r="F32" s="28"/>
      <c r="G32" s="29"/>
      <c r="H32" s="39">
        <v>0.625</v>
      </c>
      <c r="I32" s="40">
        <v>0.70833333333333337</v>
      </c>
      <c r="J32" s="45">
        <f t="shared" si="0"/>
        <v>2.0000000000000009</v>
      </c>
      <c r="K32" s="47" t="e" vm="1">
        <v>#VALUE!</v>
      </c>
      <c r="L32" s="48"/>
      <c r="M32" s="27"/>
      <c r="N32" s="29"/>
    </row>
    <row r="33" spans="1:14" ht="24.75" customHeight="1" thickBot="1" x14ac:dyDescent="0.3">
      <c r="A33" s="27" t="s">
        <v>45</v>
      </c>
      <c r="B33" s="28"/>
      <c r="C33" s="28"/>
      <c r="D33" s="29"/>
      <c r="E33" s="43">
        <v>46178</v>
      </c>
      <c r="F33" s="28"/>
      <c r="G33" s="29"/>
      <c r="H33" s="39">
        <v>0.375</v>
      </c>
      <c r="I33" s="40">
        <v>0.5</v>
      </c>
      <c r="J33" s="45">
        <f t="shared" si="0"/>
        <v>3</v>
      </c>
      <c r="K33" s="47" t="e" vm="1">
        <v>#VALUE!</v>
      </c>
      <c r="L33" s="48"/>
      <c r="M33" s="27"/>
      <c r="N33" s="29"/>
    </row>
    <row r="34" spans="1:14" ht="24.75" customHeight="1" thickBot="1" x14ac:dyDescent="0.3">
      <c r="A34" s="27" t="s">
        <v>45</v>
      </c>
      <c r="B34" s="28"/>
      <c r="C34" s="28"/>
      <c r="D34" s="29"/>
      <c r="E34" s="43">
        <v>46178</v>
      </c>
      <c r="F34" s="28"/>
      <c r="G34" s="29"/>
      <c r="H34" s="39">
        <v>0.66666666666666663</v>
      </c>
      <c r="I34" s="40">
        <v>0.75</v>
      </c>
      <c r="J34" s="45">
        <f t="shared" si="0"/>
        <v>2.0000000000000009</v>
      </c>
      <c r="K34" s="47" t="e" vm="1">
        <v>#VALUE!</v>
      </c>
      <c r="L34" s="48"/>
      <c r="M34" s="27"/>
      <c r="N34" s="29"/>
    </row>
    <row r="35" spans="1:14" ht="24.75" customHeight="1" thickBot="1" x14ac:dyDescent="0.3">
      <c r="A35" s="27" t="s">
        <v>45</v>
      </c>
      <c r="B35" s="28"/>
      <c r="C35" s="28"/>
      <c r="D35" s="29"/>
      <c r="E35" s="43">
        <v>46182</v>
      </c>
      <c r="F35" s="28"/>
      <c r="G35" s="29"/>
      <c r="H35" s="39">
        <v>0.375</v>
      </c>
      <c r="I35" s="40">
        <v>0.5</v>
      </c>
      <c r="J35" s="45">
        <f t="shared" si="0"/>
        <v>3</v>
      </c>
      <c r="K35" s="47" t="e" vm="1">
        <v>#VALUE!</v>
      </c>
      <c r="L35" s="48"/>
      <c r="M35" s="27"/>
      <c r="N35" s="29"/>
    </row>
    <row r="36" spans="1:14" ht="24.75" customHeight="1" thickBot="1" x14ac:dyDescent="0.3">
      <c r="A36" s="27" t="s">
        <v>45</v>
      </c>
      <c r="B36" s="28"/>
      <c r="C36" s="28"/>
      <c r="D36" s="29"/>
      <c r="E36" s="43">
        <v>46182</v>
      </c>
      <c r="F36" s="28"/>
      <c r="G36" s="29"/>
      <c r="H36" s="39">
        <v>0.625</v>
      </c>
      <c r="I36" s="40">
        <v>0.75</v>
      </c>
      <c r="J36" s="45">
        <f t="shared" si="0"/>
        <v>3</v>
      </c>
      <c r="K36" s="47" t="e" vm="1">
        <v>#VALUE!</v>
      </c>
      <c r="L36" s="48"/>
      <c r="M36" s="27"/>
      <c r="N36" s="29"/>
    </row>
    <row r="37" spans="1:14" ht="24.75" customHeight="1" thickBot="1" x14ac:dyDescent="0.3">
      <c r="A37" s="27" t="s">
        <v>45</v>
      </c>
      <c r="B37" s="28"/>
      <c r="C37" s="28"/>
      <c r="D37" s="29"/>
      <c r="E37" s="43">
        <v>46183</v>
      </c>
      <c r="F37" s="28"/>
      <c r="G37" s="29"/>
      <c r="H37" s="39">
        <v>0.45833333333333331</v>
      </c>
      <c r="I37" s="40">
        <v>0.54166666666666663</v>
      </c>
      <c r="J37" s="45">
        <f t="shared" si="0"/>
        <v>1.9999999999999996</v>
      </c>
      <c r="K37" s="47" t="e" vm="1">
        <v>#VALUE!</v>
      </c>
      <c r="L37" s="48"/>
      <c r="M37" s="27"/>
      <c r="N37" s="29"/>
    </row>
    <row r="38" spans="1:14" ht="24.75" customHeight="1" thickBot="1" x14ac:dyDescent="0.3">
      <c r="A38" s="27" t="s">
        <v>45</v>
      </c>
      <c r="B38" s="28"/>
      <c r="C38" s="28"/>
      <c r="D38" s="29"/>
      <c r="E38" s="43">
        <v>46183</v>
      </c>
      <c r="F38" s="28"/>
      <c r="G38" s="29"/>
      <c r="H38" s="39">
        <v>0.66666666666666663</v>
      </c>
      <c r="I38" s="40">
        <v>0.75</v>
      </c>
      <c r="J38" s="45">
        <f t="shared" si="0"/>
        <v>2.0000000000000009</v>
      </c>
      <c r="K38" s="47" t="e" vm="1">
        <v>#VALUE!</v>
      </c>
      <c r="L38" s="48"/>
      <c r="M38" s="27"/>
      <c r="N38" s="29"/>
    </row>
    <row r="39" spans="1:14" ht="24.75" customHeight="1" thickBot="1" x14ac:dyDescent="0.3">
      <c r="A39" s="27" t="s">
        <v>45</v>
      </c>
      <c r="B39" s="28"/>
      <c r="C39" s="28"/>
      <c r="D39" s="29"/>
      <c r="E39" s="43">
        <v>46184</v>
      </c>
      <c r="F39" s="28"/>
      <c r="G39" s="29"/>
      <c r="H39" s="39">
        <v>0.375</v>
      </c>
      <c r="I39" s="40">
        <v>0.5</v>
      </c>
      <c r="J39" s="45">
        <f t="shared" si="0"/>
        <v>3</v>
      </c>
      <c r="K39" s="47" t="e" vm="1">
        <v>#VALUE!</v>
      </c>
      <c r="L39" s="48"/>
      <c r="M39" s="27"/>
      <c r="N39" s="29"/>
    </row>
    <row r="40" spans="1:14" ht="24.75" customHeight="1" thickBot="1" x14ac:dyDescent="0.3">
      <c r="A40" s="27" t="s">
        <v>45</v>
      </c>
      <c r="B40" s="28"/>
      <c r="C40" s="28"/>
      <c r="D40" s="29"/>
      <c r="E40" s="43">
        <v>46184</v>
      </c>
      <c r="F40" s="28"/>
      <c r="G40" s="29"/>
      <c r="H40" s="39">
        <v>0.625</v>
      </c>
      <c r="I40" s="40">
        <v>0.75</v>
      </c>
      <c r="J40" s="45">
        <f t="shared" si="0"/>
        <v>3</v>
      </c>
      <c r="K40" s="47" t="e" vm="1">
        <v>#VALUE!</v>
      </c>
      <c r="L40" s="48"/>
      <c r="M40" s="27"/>
      <c r="N40" s="29"/>
    </row>
    <row r="41" spans="1:14" ht="24.75" customHeight="1" thickBot="1" x14ac:dyDescent="0.3">
      <c r="A41" s="27" t="s">
        <v>45</v>
      </c>
      <c r="B41" s="28"/>
      <c r="C41" s="28"/>
      <c r="D41" s="29"/>
      <c r="E41" s="43">
        <v>46185</v>
      </c>
      <c r="F41" s="28"/>
      <c r="G41" s="29"/>
      <c r="H41" s="39">
        <v>0.41666666666666669</v>
      </c>
      <c r="I41" s="40">
        <v>0.54166666666666663</v>
      </c>
      <c r="J41" s="45">
        <f t="shared" si="0"/>
        <v>2.9999999999999987</v>
      </c>
      <c r="K41" s="47" t="e" vm="1">
        <v>#VALUE!</v>
      </c>
      <c r="L41" s="48"/>
      <c r="M41" s="27"/>
      <c r="N41" s="29"/>
    </row>
    <row r="42" spans="1:14" ht="24.75" customHeight="1" thickBot="1" x14ac:dyDescent="0.3">
      <c r="A42" s="27" t="s">
        <v>45</v>
      </c>
      <c r="B42" s="28"/>
      <c r="C42" s="28"/>
      <c r="D42" s="29"/>
      <c r="E42" s="43">
        <v>46185</v>
      </c>
      <c r="F42" s="28"/>
      <c r="G42" s="29"/>
      <c r="H42" s="39">
        <v>0.625</v>
      </c>
      <c r="I42" s="40">
        <v>0.75</v>
      </c>
      <c r="J42" s="45">
        <f t="shared" si="0"/>
        <v>3</v>
      </c>
      <c r="K42" s="47" t="e" vm="1">
        <v>#VALUE!</v>
      </c>
      <c r="L42" s="48"/>
      <c r="M42" s="27"/>
      <c r="N42" s="29"/>
    </row>
    <row r="43" spans="1:14" ht="24.75" customHeight="1" thickBot="1" x14ac:dyDescent="0.3">
      <c r="A43" s="27" t="s">
        <v>45</v>
      </c>
      <c r="B43" s="28"/>
      <c r="C43" s="28"/>
      <c r="D43" s="29"/>
      <c r="E43" s="43">
        <v>46189</v>
      </c>
      <c r="F43" s="28"/>
      <c r="G43" s="29"/>
      <c r="H43" s="39">
        <v>0.41666666666666669</v>
      </c>
      <c r="I43" s="40">
        <v>0.54166666666666663</v>
      </c>
      <c r="J43" s="45">
        <f t="shared" si="0"/>
        <v>2.9999999999999987</v>
      </c>
      <c r="K43" s="47" t="e" vm="1">
        <v>#VALUE!</v>
      </c>
      <c r="L43" s="48"/>
      <c r="M43" s="27"/>
      <c r="N43" s="29"/>
    </row>
    <row r="44" spans="1:14" ht="24.75" customHeight="1" thickBot="1" x14ac:dyDescent="0.3">
      <c r="A44" s="41" t="s">
        <v>46</v>
      </c>
      <c r="B44" s="28"/>
      <c r="C44" s="28"/>
      <c r="D44" s="29"/>
      <c r="E44" s="43">
        <v>46189</v>
      </c>
      <c r="F44" s="28"/>
      <c r="G44" s="29"/>
      <c r="H44" s="39">
        <v>0.625</v>
      </c>
      <c r="I44" s="40">
        <v>0.75</v>
      </c>
      <c r="J44" s="45">
        <f t="shared" si="0"/>
        <v>3</v>
      </c>
      <c r="K44" s="47" t="e" vm="1">
        <v>#VALUE!</v>
      </c>
      <c r="L44" s="48"/>
      <c r="M44" s="27"/>
      <c r="N44" s="29"/>
    </row>
    <row r="45" spans="1:14" ht="24.75" customHeight="1" thickBot="1" x14ac:dyDescent="0.3">
      <c r="A45" s="41" t="s">
        <v>46</v>
      </c>
      <c r="B45" s="28"/>
      <c r="C45" s="28"/>
      <c r="D45" s="29"/>
      <c r="E45" s="43">
        <v>46190</v>
      </c>
      <c r="F45" s="28"/>
      <c r="G45" s="29"/>
      <c r="H45" s="39">
        <v>0.375</v>
      </c>
      <c r="I45" s="40">
        <v>0.5</v>
      </c>
      <c r="J45" s="45">
        <f t="shared" si="0"/>
        <v>3</v>
      </c>
      <c r="K45" s="47" t="e" vm="1">
        <v>#VALUE!</v>
      </c>
      <c r="L45" s="48"/>
      <c r="M45" s="27"/>
      <c r="N45" s="29"/>
    </row>
    <row r="46" spans="1:14" ht="24.75" customHeight="1" thickBot="1" x14ac:dyDescent="0.3">
      <c r="A46" s="41" t="s">
        <v>46</v>
      </c>
      <c r="B46" s="28"/>
      <c r="C46" s="28"/>
      <c r="D46" s="29"/>
      <c r="E46" s="43">
        <v>46190</v>
      </c>
      <c r="F46" s="28"/>
      <c r="G46" s="29"/>
      <c r="H46" s="39">
        <v>0.625</v>
      </c>
      <c r="I46" s="40">
        <v>0.75</v>
      </c>
      <c r="J46" s="45">
        <f t="shared" si="0"/>
        <v>3</v>
      </c>
      <c r="K46" s="47" t="e" vm="1">
        <v>#VALUE!</v>
      </c>
      <c r="L46" s="48"/>
      <c r="M46" s="27"/>
      <c r="N46" s="29"/>
    </row>
    <row r="47" spans="1:14" ht="24.75" customHeight="1" thickBot="1" x14ac:dyDescent="0.3">
      <c r="A47" s="41" t="s">
        <v>46</v>
      </c>
      <c r="B47" s="28"/>
      <c r="C47" s="28"/>
      <c r="D47" s="29"/>
      <c r="E47" s="43">
        <v>46191</v>
      </c>
      <c r="F47" s="28"/>
      <c r="G47" s="29"/>
      <c r="H47" s="39">
        <v>0.375</v>
      </c>
      <c r="I47" s="40">
        <v>0.5</v>
      </c>
      <c r="J47" s="45">
        <f t="shared" si="0"/>
        <v>3</v>
      </c>
      <c r="K47" s="47" t="e" vm="1">
        <v>#VALUE!</v>
      </c>
      <c r="L47" s="48"/>
      <c r="M47" s="27"/>
      <c r="N47" s="29"/>
    </row>
    <row r="48" spans="1:14" ht="24.75" customHeight="1" thickBot="1" x14ac:dyDescent="0.3">
      <c r="A48" s="41" t="s">
        <v>46</v>
      </c>
      <c r="B48" s="28"/>
      <c r="C48" s="28"/>
      <c r="D48" s="29"/>
      <c r="E48" s="43">
        <v>46191</v>
      </c>
      <c r="F48" s="28"/>
      <c r="G48" s="29"/>
      <c r="H48" s="39">
        <v>0.625</v>
      </c>
      <c r="I48" s="40">
        <v>0.70833333333333337</v>
      </c>
      <c r="J48" s="45">
        <f t="shared" si="0"/>
        <v>2.0000000000000009</v>
      </c>
      <c r="K48" s="47" t="e" vm="1">
        <v>#VALUE!</v>
      </c>
      <c r="L48" s="48"/>
      <c r="M48" s="27"/>
      <c r="N48" s="29"/>
    </row>
    <row r="49" spans="1:14" ht="24.6" customHeight="1" thickBot="1" x14ac:dyDescent="0.3">
      <c r="A49" s="41" t="s">
        <v>46</v>
      </c>
      <c r="B49" s="28"/>
      <c r="C49" s="28"/>
      <c r="D49" s="29"/>
      <c r="E49" s="43">
        <v>46192</v>
      </c>
      <c r="F49" s="28"/>
      <c r="G49" s="29"/>
      <c r="H49" s="39">
        <v>0.375</v>
      </c>
      <c r="I49" s="40">
        <v>0.54166666666666663</v>
      </c>
      <c r="J49" s="45">
        <f t="shared" si="0"/>
        <v>3.9999999999999991</v>
      </c>
      <c r="K49" s="47" t="e" vm="1">
        <v>#VALUE!</v>
      </c>
      <c r="L49" s="48"/>
      <c r="M49" s="27"/>
      <c r="N49" s="29"/>
    </row>
    <row r="50" spans="1:14" ht="24.6" customHeight="1" thickBot="1" x14ac:dyDescent="0.3">
      <c r="A50" s="41" t="s">
        <v>46</v>
      </c>
      <c r="B50" s="28"/>
      <c r="C50" s="28"/>
      <c r="D50" s="29"/>
      <c r="E50" s="43">
        <v>46195</v>
      </c>
      <c r="F50" s="28"/>
      <c r="G50" s="29"/>
      <c r="H50" s="39">
        <v>0.375</v>
      </c>
      <c r="I50" s="40">
        <v>0.5</v>
      </c>
      <c r="J50" s="45">
        <f t="shared" si="0"/>
        <v>3</v>
      </c>
      <c r="K50" s="47" t="e" vm="1">
        <v>#VALUE!</v>
      </c>
      <c r="L50" s="48"/>
      <c r="M50" s="27"/>
      <c r="N50" s="29"/>
    </row>
    <row r="51" spans="1:14" ht="24.75" customHeight="1" thickBot="1" x14ac:dyDescent="0.3">
      <c r="A51" s="41" t="s">
        <v>46</v>
      </c>
      <c r="B51" s="28"/>
      <c r="C51" s="28"/>
      <c r="D51" s="29"/>
      <c r="E51" s="43">
        <v>46195</v>
      </c>
      <c r="F51" s="28"/>
      <c r="G51" s="29"/>
      <c r="H51" s="39">
        <v>0.625</v>
      </c>
      <c r="I51" s="40">
        <v>0.75</v>
      </c>
      <c r="J51" s="45">
        <f t="shared" si="0"/>
        <v>3</v>
      </c>
      <c r="K51" s="47" t="e" vm="1">
        <v>#VALUE!</v>
      </c>
      <c r="L51" s="48"/>
      <c r="M51" s="27"/>
      <c r="N51" s="29"/>
    </row>
    <row r="52" spans="1:14" ht="24.75" customHeight="1" thickBot="1" x14ac:dyDescent="0.3">
      <c r="A52" s="41" t="s">
        <v>46</v>
      </c>
      <c r="B52" s="28"/>
      <c r="C52" s="28"/>
      <c r="D52" s="29"/>
      <c r="E52" s="43">
        <v>46196</v>
      </c>
      <c r="F52" s="28"/>
      <c r="G52" s="29"/>
      <c r="H52" s="39">
        <v>0.41666666666666669</v>
      </c>
      <c r="I52" s="40">
        <v>0.54166666666666663</v>
      </c>
      <c r="J52" s="45">
        <f t="shared" si="0"/>
        <v>2.9999999999999987</v>
      </c>
      <c r="K52" s="47" t="e" vm="1">
        <v>#VALUE!</v>
      </c>
      <c r="L52" s="48"/>
      <c r="M52" s="27"/>
      <c r="N52" s="29"/>
    </row>
    <row r="53" spans="1:14" ht="24.75" customHeight="1" thickBot="1" x14ac:dyDescent="0.3">
      <c r="A53" s="41" t="s">
        <v>46</v>
      </c>
      <c r="B53" s="28"/>
      <c r="C53" s="28"/>
      <c r="D53" s="29"/>
      <c r="E53" s="43">
        <v>46196</v>
      </c>
      <c r="F53" s="28"/>
      <c r="G53" s="29"/>
      <c r="H53" s="39">
        <v>0.66666666666666663</v>
      </c>
      <c r="I53" s="40">
        <v>0.75</v>
      </c>
      <c r="J53" s="45">
        <f t="shared" si="0"/>
        <v>2.0000000000000009</v>
      </c>
      <c r="K53" s="47" t="e" vm="1">
        <v>#VALUE!</v>
      </c>
      <c r="L53" s="48"/>
      <c r="M53" s="27"/>
      <c r="N53" s="29"/>
    </row>
    <row r="54" spans="1:14" ht="24.75" customHeight="1" thickBot="1" x14ac:dyDescent="0.3">
      <c r="A54" s="41" t="s">
        <v>46</v>
      </c>
      <c r="B54" s="28"/>
      <c r="C54" s="28"/>
      <c r="D54" s="29"/>
      <c r="E54" s="43">
        <v>46197</v>
      </c>
      <c r="F54" s="28"/>
      <c r="G54" s="29"/>
      <c r="H54" s="39">
        <v>0.375</v>
      </c>
      <c r="I54" s="40">
        <v>0.5</v>
      </c>
      <c r="J54" s="45">
        <f t="shared" si="0"/>
        <v>3</v>
      </c>
      <c r="K54" s="47" t="e" vm="1">
        <v>#VALUE!</v>
      </c>
      <c r="L54" s="48"/>
      <c r="M54" s="27"/>
      <c r="N54" s="29"/>
    </row>
    <row r="55" spans="1:14" ht="24.75" customHeight="1" thickBot="1" x14ac:dyDescent="0.3">
      <c r="A55" s="41" t="s">
        <v>46</v>
      </c>
      <c r="B55" s="28"/>
      <c r="C55" s="28"/>
      <c r="D55" s="29"/>
      <c r="E55" s="43">
        <v>46197</v>
      </c>
      <c r="F55" s="28"/>
      <c r="G55" s="29"/>
      <c r="H55" s="39">
        <v>0.625</v>
      </c>
      <c r="I55" s="40">
        <v>0.75</v>
      </c>
      <c r="J55" s="45">
        <f t="shared" si="0"/>
        <v>3</v>
      </c>
      <c r="K55" s="47" t="e" vm="1">
        <v>#VALUE!</v>
      </c>
      <c r="L55" s="48"/>
      <c r="M55" s="27"/>
      <c r="N55" s="29"/>
    </row>
    <row r="56" spans="1:14" ht="24.75" customHeight="1" thickBot="1" x14ac:dyDescent="0.3">
      <c r="A56" s="41" t="s">
        <v>46</v>
      </c>
      <c r="B56" s="28"/>
      <c r="C56" s="28"/>
      <c r="D56" s="29"/>
      <c r="E56" s="43">
        <v>46198</v>
      </c>
      <c r="F56" s="28"/>
      <c r="G56" s="29"/>
      <c r="H56" s="39">
        <v>0.375</v>
      </c>
      <c r="I56" s="40">
        <v>0.5</v>
      </c>
      <c r="J56" s="45">
        <f t="shared" si="0"/>
        <v>3</v>
      </c>
      <c r="K56" s="47" t="e" vm="1">
        <v>#VALUE!</v>
      </c>
      <c r="L56" s="48"/>
      <c r="M56" s="27"/>
      <c r="N56" s="29"/>
    </row>
    <row r="57" spans="1:14" ht="24.75" customHeight="1" thickBot="1" x14ac:dyDescent="0.3">
      <c r="A57" s="41" t="s">
        <v>46</v>
      </c>
      <c r="B57" s="28"/>
      <c r="C57" s="28"/>
      <c r="D57" s="29"/>
      <c r="E57" s="43">
        <v>46199</v>
      </c>
      <c r="F57" s="28"/>
      <c r="G57" s="29"/>
      <c r="H57" s="39">
        <v>0.375</v>
      </c>
      <c r="I57" s="40">
        <v>0.45833333333333331</v>
      </c>
      <c r="J57" s="45">
        <f t="shared" si="0"/>
        <v>1.9999999999999996</v>
      </c>
      <c r="K57" s="47" t="e" vm="1">
        <v>#VALUE!</v>
      </c>
      <c r="L57" s="48"/>
      <c r="M57" s="27"/>
      <c r="N57" s="29"/>
    </row>
    <row r="58" spans="1:14" ht="24.75" customHeight="1" thickBot="1" x14ac:dyDescent="0.3">
      <c r="A58" s="41" t="s">
        <v>46</v>
      </c>
      <c r="B58" s="28"/>
      <c r="C58" s="28"/>
      <c r="D58" s="29"/>
      <c r="E58" s="43">
        <v>46199</v>
      </c>
      <c r="F58" s="28"/>
      <c r="G58" s="29"/>
      <c r="H58" s="39">
        <v>0.625</v>
      </c>
      <c r="I58" s="40">
        <v>0.75</v>
      </c>
      <c r="J58" s="45">
        <f t="shared" si="0"/>
        <v>3</v>
      </c>
      <c r="K58" s="47" t="e" vm="1">
        <v>#VALUE!</v>
      </c>
      <c r="L58" s="48"/>
      <c r="M58" s="27"/>
      <c r="N58" s="29"/>
    </row>
    <row r="59" spans="1:14" ht="24.75" customHeight="1" thickBot="1" x14ac:dyDescent="0.3">
      <c r="A59" s="41" t="s">
        <v>46</v>
      </c>
      <c r="B59" s="28"/>
      <c r="C59" s="28"/>
      <c r="D59" s="29"/>
      <c r="E59" s="43">
        <v>46203</v>
      </c>
      <c r="F59" s="28"/>
      <c r="G59" s="29"/>
      <c r="H59" s="39">
        <v>0.375</v>
      </c>
      <c r="I59" s="40">
        <v>0.5</v>
      </c>
      <c r="J59" s="45">
        <f t="shared" si="0"/>
        <v>3</v>
      </c>
      <c r="K59" s="47" t="e" vm="1">
        <v>#VALUE!</v>
      </c>
      <c r="L59" s="48"/>
      <c r="M59" s="27"/>
      <c r="N59" s="29"/>
    </row>
    <row r="60" spans="1:14" ht="24.75" customHeight="1" thickBot="1" x14ac:dyDescent="0.3">
      <c r="A60" s="41" t="s">
        <v>46</v>
      </c>
      <c r="B60" s="28"/>
      <c r="C60" s="28"/>
      <c r="D60" s="29"/>
      <c r="E60" s="43">
        <v>46203</v>
      </c>
      <c r="F60" s="28"/>
      <c r="G60" s="29"/>
      <c r="H60" s="39">
        <v>0.66666666666666663</v>
      </c>
      <c r="I60" s="40">
        <v>0.75</v>
      </c>
      <c r="J60" s="45">
        <f t="shared" si="0"/>
        <v>2.0000000000000009</v>
      </c>
      <c r="K60" s="47" t="e" vm="1">
        <v>#VALUE!</v>
      </c>
      <c r="L60" s="48"/>
      <c r="M60" s="27"/>
      <c r="N60" s="29"/>
    </row>
    <row r="61" spans="1:14" ht="24.75" customHeight="1" thickBot="1" x14ac:dyDescent="0.3">
      <c r="A61" s="41" t="s">
        <v>46</v>
      </c>
      <c r="B61" s="28"/>
      <c r="C61" s="28"/>
      <c r="D61" s="29"/>
      <c r="E61" s="43">
        <v>46204</v>
      </c>
      <c r="F61" s="28"/>
      <c r="G61" s="29"/>
      <c r="H61" s="39">
        <v>0.375</v>
      </c>
      <c r="I61" s="40">
        <v>0.5</v>
      </c>
      <c r="J61" s="45">
        <f t="shared" si="0"/>
        <v>3</v>
      </c>
      <c r="K61" s="47" t="e" vm="1">
        <v>#VALUE!</v>
      </c>
      <c r="L61" s="48"/>
      <c r="M61" s="27"/>
      <c r="N61" s="29"/>
    </row>
    <row r="62" spans="1:14" ht="24.75" customHeight="1" thickBot="1" x14ac:dyDescent="0.3">
      <c r="A62" s="41" t="s">
        <v>46</v>
      </c>
      <c r="B62" s="28"/>
      <c r="C62" s="28"/>
      <c r="D62" s="29"/>
      <c r="E62" s="43">
        <v>46204</v>
      </c>
      <c r="F62" s="28"/>
      <c r="G62" s="29"/>
      <c r="H62" s="39">
        <v>0.625</v>
      </c>
      <c r="I62" s="40">
        <v>0.75</v>
      </c>
      <c r="J62" s="45">
        <f t="shared" si="0"/>
        <v>3</v>
      </c>
      <c r="K62" s="47" t="e" vm="1">
        <v>#VALUE!</v>
      </c>
      <c r="L62" s="48"/>
      <c r="M62" s="27"/>
      <c r="N62" s="29"/>
    </row>
    <row r="63" spans="1:14" ht="24.75" customHeight="1" thickBot="1" x14ac:dyDescent="0.3">
      <c r="A63" s="41" t="s">
        <v>46</v>
      </c>
      <c r="B63" s="28"/>
      <c r="C63" s="28"/>
      <c r="D63" s="29"/>
      <c r="E63" s="43">
        <v>46205</v>
      </c>
      <c r="F63" s="28"/>
      <c r="G63" s="29"/>
      <c r="H63" s="39">
        <v>0.375</v>
      </c>
      <c r="I63" s="40">
        <v>0.45833333333333331</v>
      </c>
      <c r="J63" s="45">
        <f t="shared" si="0"/>
        <v>1.9999999999999996</v>
      </c>
      <c r="K63" s="47" t="e" vm="1">
        <v>#VALUE!</v>
      </c>
      <c r="L63" s="48"/>
      <c r="M63" s="27"/>
      <c r="N63" s="29"/>
    </row>
    <row r="64" spans="1:14" ht="24.75" customHeight="1" thickBot="1" x14ac:dyDescent="0.3">
      <c r="A64" s="41" t="s">
        <v>46</v>
      </c>
      <c r="B64" s="28"/>
      <c r="C64" s="28"/>
      <c r="D64" s="29"/>
      <c r="E64" s="43">
        <v>46205</v>
      </c>
      <c r="F64" s="28"/>
      <c r="G64" s="29"/>
      <c r="H64" s="39">
        <v>0.66666666666666663</v>
      </c>
      <c r="I64" s="40">
        <v>0.70833333333333337</v>
      </c>
      <c r="J64" s="45">
        <f t="shared" si="0"/>
        <v>1.0000000000000018</v>
      </c>
      <c r="K64" s="47" t="e" vm="1">
        <v>#VALUE!</v>
      </c>
      <c r="L64" s="48"/>
      <c r="M64" s="27"/>
      <c r="N64" s="29"/>
    </row>
    <row r="65" spans="1:14" ht="24.75" customHeight="1" thickBot="1" x14ac:dyDescent="0.3">
      <c r="A65" s="41" t="s">
        <v>46</v>
      </c>
      <c r="B65" s="28"/>
      <c r="C65" s="28"/>
      <c r="D65" s="29"/>
      <c r="E65" s="43">
        <v>46206</v>
      </c>
      <c r="F65" s="28"/>
      <c r="G65" s="29"/>
      <c r="H65" s="39">
        <v>0.375</v>
      </c>
      <c r="I65" s="40">
        <v>0.54166666666666663</v>
      </c>
      <c r="J65" s="45">
        <f t="shared" si="0"/>
        <v>3.9999999999999991</v>
      </c>
      <c r="K65" s="47" t="e" vm="1">
        <v>#VALUE!</v>
      </c>
      <c r="L65" s="48"/>
      <c r="M65" s="27"/>
      <c r="N65" s="29"/>
    </row>
    <row r="66" spans="1:14" ht="24.75" customHeight="1" thickBot="1" x14ac:dyDescent="0.3">
      <c r="A66" s="41" t="s">
        <v>46</v>
      </c>
      <c r="B66" s="28"/>
      <c r="C66" s="28"/>
      <c r="D66" s="29"/>
      <c r="E66" s="43">
        <v>46209</v>
      </c>
      <c r="F66" s="28"/>
      <c r="G66" s="29"/>
      <c r="H66" s="39">
        <v>0.375</v>
      </c>
      <c r="I66" s="40">
        <v>0.54166666666666663</v>
      </c>
      <c r="J66" s="45">
        <f t="shared" ref="J66:J77" si="1">(I66-H66)*24</f>
        <v>3.9999999999999991</v>
      </c>
      <c r="K66" s="47" t="e" vm="1">
        <v>#VALUE!</v>
      </c>
      <c r="L66" s="48"/>
      <c r="M66" s="27"/>
      <c r="N66" s="29"/>
    </row>
    <row r="67" spans="1:14" ht="24.75" customHeight="1" thickBot="1" x14ac:dyDescent="0.3">
      <c r="A67" s="41" t="s">
        <v>46</v>
      </c>
      <c r="B67" s="28"/>
      <c r="C67" s="28"/>
      <c r="D67" s="29"/>
      <c r="E67" s="43">
        <v>46209</v>
      </c>
      <c r="F67" s="28"/>
      <c r="G67" s="29"/>
      <c r="H67" s="39">
        <v>0.625</v>
      </c>
      <c r="I67" s="40">
        <v>0.70833333333333337</v>
      </c>
      <c r="J67" s="45">
        <f t="shared" si="1"/>
        <v>2.0000000000000009</v>
      </c>
      <c r="K67" s="47" t="e" vm="1">
        <v>#VALUE!</v>
      </c>
      <c r="L67" s="48"/>
      <c r="M67" s="27"/>
      <c r="N67" s="29"/>
    </row>
    <row r="68" spans="1:14" ht="24.75" customHeight="1" thickBot="1" x14ac:dyDescent="0.3">
      <c r="A68" s="41" t="s">
        <v>46</v>
      </c>
      <c r="B68" s="28"/>
      <c r="C68" s="28"/>
      <c r="D68" s="29"/>
      <c r="E68" s="43">
        <v>46210</v>
      </c>
      <c r="F68" s="28"/>
      <c r="G68" s="29"/>
      <c r="H68" s="39">
        <v>0.375</v>
      </c>
      <c r="I68" s="40">
        <v>0.54166666666666663</v>
      </c>
      <c r="J68" s="45">
        <f t="shared" si="1"/>
        <v>3.9999999999999991</v>
      </c>
      <c r="K68" s="47" t="e" vm="1">
        <v>#VALUE!</v>
      </c>
      <c r="L68" s="48"/>
      <c r="M68" s="27"/>
      <c r="N68" s="29"/>
    </row>
    <row r="69" spans="1:14" ht="24.75" customHeight="1" thickBot="1" x14ac:dyDescent="0.3">
      <c r="A69" s="41" t="s">
        <v>46</v>
      </c>
      <c r="B69" s="28"/>
      <c r="C69" s="28"/>
      <c r="D69" s="29"/>
      <c r="E69" s="43">
        <v>46210</v>
      </c>
      <c r="F69" s="28"/>
      <c r="G69" s="29"/>
      <c r="H69" s="39">
        <v>0.625</v>
      </c>
      <c r="I69" s="40">
        <v>0.70833333333333337</v>
      </c>
      <c r="J69" s="45">
        <f t="shared" si="1"/>
        <v>2.0000000000000009</v>
      </c>
      <c r="K69" s="47" t="e" vm="1">
        <v>#VALUE!</v>
      </c>
      <c r="L69" s="48"/>
      <c r="M69" s="27"/>
      <c r="N69" s="29"/>
    </row>
    <row r="70" spans="1:14" ht="24.75" customHeight="1" thickBot="1" x14ac:dyDescent="0.3">
      <c r="A70" s="41" t="s">
        <v>46</v>
      </c>
      <c r="B70" s="28"/>
      <c r="C70" s="28"/>
      <c r="D70" s="29"/>
      <c r="E70" s="43">
        <v>46211</v>
      </c>
      <c r="F70" s="28"/>
      <c r="G70" s="29"/>
      <c r="H70" s="39">
        <v>0.375</v>
      </c>
      <c r="I70" s="40">
        <v>0.5</v>
      </c>
      <c r="J70" s="45">
        <f t="shared" si="1"/>
        <v>3</v>
      </c>
      <c r="K70" s="47" t="e" vm="1">
        <v>#VALUE!</v>
      </c>
      <c r="L70" s="48"/>
      <c r="M70" s="27"/>
      <c r="N70" s="29"/>
    </row>
    <row r="71" spans="1:14" ht="24.75" customHeight="1" thickBot="1" x14ac:dyDescent="0.3">
      <c r="A71" s="41" t="s">
        <v>46</v>
      </c>
      <c r="B71" s="28"/>
      <c r="C71" s="28"/>
      <c r="D71" s="29"/>
      <c r="E71" s="43">
        <v>46211</v>
      </c>
      <c r="F71" s="28"/>
      <c r="G71" s="29"/>
      <c r="H71" s="39">
        <v>0.70833333333333337</v>
      </c>
      <c r="I71" s="40">
        <v>0.75</v>
      </c>
      <c r="J71" s="45">
        <f t="shared" si="1"/>
        <v>0.99999999999999911</v>
      </c>
      <c r="K71" s="47" t="e" vm="1">
        <v>#VALUE!</v>
      </c>
      <c r="L71" s="48"/>
      <c r="M71" s="27"/>
      <c r="N71" s="29"/>
    </row>
    <row r="72" spans="1:14" ht="24.75" customHeight="1" thickBot="1" x14ac:dyDescent="0.3">
      <c r="A72" s="41" t="s">
        <v>46</v>
      </c>
      <c r="B72" s="28"/>
      <c r="C72" s="28"/>
      <c r="D72" s="29"/>
      <c r="E72" s="43">
        <v>46212</v>
      </c>
      <c r="F72" s="28"/>
      <c r="G72" s="29"/>
      <c r="H72" s="39">
        <v>0.375</v>
      </c>
      <c r="I72" s="40">
        <v>0.5</v>
      </c>
      <c r="J72" s="45">
        <f t="shared" si="1"/>
        <v>3</v>
      </c>
      <c r="K72" s="47" t="e" vm="1">
        <v>#VALUE!</v>
      </c>
      <c r="L72" s="48"/>
      <c r="M72" s="27"/>
      <c r="N72" s="29"/>
    </row>
    <row r="73" spans="1:14" ht="24.75" customHeight="1" thickBot="1" x14ac:dyDescent="0.3">
      <c r="A73" s="41" t="s">
        <v>46</v>
      </c>
      <c r="B73" s="28"/>
      <c r="C73" s="28"/>
      <c r="D73" s="29"/>
      <c r="E73" s="43">
        <v>46212</v>
      </c>
      <c r="F73" s="28"/>
      <c r="G73" s="29"/>
      <c r="H73" s="39">
        <v>0.66666666666666663</v>
      </c>
      <c r="I73" s="40">
        <v>0.75</v>
      </c>
      <c r="J73" s="45">
        <f t="shared" si="1"/>
        <v>2.0000000000000009</v>
      </c>
      <c r="K73" s="47" t="e" vm="1">
        <v>#VALUE!</v>
      </c>
      <c r="L73" s="48"/>
      <c r="M73" s="27"/>
      <c r="N73" s="29"/>
    </row>
    <row r="74" spans="1:14" ht="24.75" customHeight="1" thickBot="1" x14ac:dyDescent="0.3">
      <c r="A74" s="41" t="s">
        <v>46</v>
      </c>
      <c r="B74" s="28"/>
      <c r="C74" s="28"/>
      <c r="D74" s="29"/>
      <c r="E74" s="43">
        <v>46213</v>
      </c>
      <c r="F74" s="28"/>
      <c r="G74" s="29"/>
      <c r="H74" s="39">
        <v>0.375</v>
      </c>
      <c r="I74" s="40">
        <v>0.45833333333333331</v>
      </c>
      <c r="J74" s="45">
        <f t="shared" si="1"/>
        <v>1.9999999999999996</v>
      </c>
      <c r="K74" s="47" t="e" vm="1">
        <v>#VALUE!</v>
      </c>
      <c r="L74" s="48"/>
      <c r="M74" s="27"/>
      <c r="N74" s="29"/>
    </row>
    <row r="75" spans="1:14" ht="24.75" customHeight="1" thickBot="1" x14ac:dyDescent="0.3">
      <c r="A75" s="41" t="s">
        <v>46</v>
      </c>
      <c r="B75" s="28"/>
      <c r="C75" s="28"/>
      <c r="D75" s="29"/>
      <c r="E75" s="43">
        <v>46213</v>
      </c>
      <c r="F75" s="28"/>
      <c r="G75" s="29"/>
      <c r="H75" s="39">
        <v>0.625</v>
      </c>
      <c r="I75" s="40">
        <v>0.70833333333333337</v>
      </c>
      <c r="J75" s="45">
        <f t="shared" si="1"/>
        <v>2.0000000000000009</v>
      </c>
      <c r="K75" s="47" t="e" vm="1">
        <v>#VALUE!</v>
      </c>
      <c r="L75" s="48"/>
      <c r="M75" s="27"/>
      <c r="N75" s="29"/>
    </row>
    <row r="76" spans="1:14" ht="24.75" customHeight="1" thickBot="1" x14ac:dyDescent="0.3">
      <c r="A76" s="41" t="s">
        <v>46</v>
      </c>
      <c r="B76" s="28"/>
      <c r="C76" s="28"/>
      <c r="D76" s="29"/>
      <c r="E76" s="43">
        <v>46216</v>
      </c>
      <c r="F76" s="28"/>
      <c r="G76" s="29"/>
      <c r="H76" s="39">
        <v>0.375</v>
      </c>
      <c r="I76" s="40">
        <v>0.54166666666666663</v>
      </c>
      <c r="J76" s="45">
        <f t="shared" si="1"/>
        <v>3.9999999999999991</v>
      </c>
      <c r="K76" s="47" t="e" vm="1">
        <v>#VALUE!</v>
      </c>
      <c r="L76" s="48"/>
      <c r="M76" s="27"/>
      <c r="N76" s="29"/>
    </row>
    <row r="77" spans="1:14" ht="24.75" customHeight="1" thickBot="1" x14ac:dyDescent="0.3">
      <c r="A77" s="41" t="s">
        <v>46</v>
      </c>
      <c r="B77" s="28"/>
      <c r="C77" s="28"/>
      <c r="D77" s="29"/>
      <c r="E77" s="43">
        <v>46216</v>
      </c>
      <c r="F77" s="28"/>
      <c r="G77" s="29"/>
      <c r="H77" s="39">
        <v>0.66666666666666663</v>
      </c>
      <c r="I77" s="40">
        <v>0.75</v>
      </c>
      <c r="J77" s="45">
        <f t="shared" si="1"/>
        <v>2.0000000000000009</v>
      </c>
      <c r="K77" s="47" t="e" vm="1">
        <v>#VALUE!</v>
      </c>
      <c r="L77" s="48"/>
      <c r="M77" s="27"/>
      <c r="N77" s="29"/>
    </row>
    <row r="78" spans="1:14" ht="24.75" customHeight="1" thickBot="1" x14ac:dyDescent="0.3">
      <c r="A78" s="41" t="s">
        <v>46</v>
      </c>
      <c r="B78" s="28"/>
      <c r="C78" s="28"/>
      <c r="D78" s="29"/>
      <c r="E78" s="43"/>
      <c r="F78" s="28"/>
      <c r="G78" s="29"/>
      <c r="H78" s="39"/>
      <c r="I78" s="40"/>
      <c r="J78" s="45"/>
      <c r="K78" s="47" t="e" vm="1">
        <v>#VALUE!</v>
      </c>
      <c r="L78" s="48"/>
      <c r="M78" s="27"/>
      <c r="N78" s="29"/>
    </row>
    <row r="79" spans="1:14" ht="24.75" customHeight="1" thickBot="1" x14ac:dyDescent="0.3">
      <c r="A79" s="41" t="s">
        <v>46</v>
      </c>
      <c r="B79" s="28"/>
      <c r="C79" s="28"/>
      <c r="D79" s="29"/>
      <c r="E79" s="43"/>
      <c r="F79" s="28"/>
      <c r="G79" s="29"/>
      <c r="H79" s="39"/>
      <c r="I79" s="40"/>
      <c r="J79" s="45"/>
      <c r="K79" s="47" t="e" vm="1">
        <v>#VALUE!</v>
      </c>
      <c r="L79" s="48"/>
      <c r="M79" s="27"/>
      <c r="N79" s="29"/>
    </row>
    <row r="80" spans="1:14" ht="24.75" customHeight="1" thickBot="1" x14ac:dyDescent="0.3">
      <c r="A80" s="41" t="s">
        <v>46</v>
      </c>
      <c r="B80" s="28"/>
      <c r="C80" s="28"/>
      <c r="D80" s="29"/>
      <c r="E80" s="43"/>
      <c r="F80" s="28"/>
      <c r="G80" s="29"/>
      <c r="H80" s="39"/>
      <c r="I80" s="40"/>
      <c r="J80" s="45"/>
      <c r="K80" s="47" t="e" vm="1">
        <v>#VALUE!</v>
      </c>
      <c r="L80" s="48"/>
      <c r="M80" s="27"/>
      <c r="N80" s="29"/>
    </row>
    <row r="81" spans="1:14" ht="24.75" customHeight="1" thickBot="1" x14ac:dyDescent="0.3">
      <c r="A81" s="41" t="s">
        <v>46</v>
      </c>
      <c r="B81" s="28"/>
      <c r="C81" s="28"/>
      <c r="D81" s="29"/>
      <c r="E81" s="43"/>
      <c r="F81" s="28"/>
      <c r="G81" s="29"/>
      <c r="H81" s="39"/>
      <c r="I81" s="40"/>
      <c r="J81" s="45"/>
      <c r="K81" s="47" t="e" vm="1">
        <v>#VALUE!</v>
      </c>
      <c r="L81" s="48"/>
      <c r="M81" s="27"/>
      <c r="N81" s="29"/>
    </row>
    <row r="82" spans="1:14" ht="24.75" customHeight="1" thickBot="1" x14ac:dyDescent="0.3">
      <c r="A82" s="41" t="s">
        <v>46</v>
      </c>
      <c r="B82" s="28"/>
      <c r="C82" s="28"/>
      <c r="D82" s="29"/>
      <c r="E82" s="43"/>
      <c r="F82" s="28"/>
      <c r="G82" s="29"/>
      <c r="H82" s="39"/>
      <c r="I82" s="40"/>
      <c r="J82" s="45"/>
      <c r="K82" s="47" t="e" vm="1">
        <v>#VALUE!</v>
      </c>
      <c r="L82" s="48"/>
      <c r="M82" s="27"/>
      <c r="N82" s="29"/>
    </row>
    <row r="83" spans="1:14" ht="24.75" customHeight="1" thickBot="1" x14ac:dyDescent="0.3">
      <c r="A83" s="41" t="s">
        <v>46</v>
      </c>
      <c r="B83" s="28"/>
      <c r="C83" s="28"/>
      <c r="D83" s="29"/>
      <c r="E83" s="43"/>
      <c r="F83" s="28"/>
      <c r="G83" s="29"/>
      <c r="H83" s="39"/>
      <c r="I83" s="40"/>
      <c r="J83" s="45"/>
      <c r="K83" s="47" t="e" vm="1">
        <v>#VALUE!</v>
      </c>
      <c r="L83" s="48"/>
      <c r="M83" s="27"/>
      <c r="N83" s="29"/>
    </row>
    <row r="84" spans="1:14" ht="24.75" customHeight="1" thickBot="1" x14ac:dyDescent="0.3">
      <c r="A84" s="41" t="s">
        <v>46</v>
      </c>
      <c r="B84" s="28"/>
      <c r="C84" s="28"/>
      <c r="D84" s="29"/>
      <c r="E84" s="43"/>
      <c r="F84" s="28"/>
      <c r="G84" s="29"/>
      <c r="H84" s="39"/>
      <c r="I84" s="40"/>
      <c r="J84" s="45"/>
      <c r="K84" s="47" t="e" vm="1">
        <v>#VALUE!</v>
      </c>
      <c r="L84" s="48"/>
      <c r="M84" s="27"/>
      <c r="N84" s="29"/>
    </row>
    <row r="85" spans="1:14" ht="24.75" customHeight="1" thickBot="1" x14ac:dyDescent="0.3">
      <c r="A85" s="41" t="s">
        <v>46</v>
      </c>
      <c r="B85" s="28"/>
      <c r="C85" s="28"/>
      <c r="D85" s="29"/>
      <c r="E85" s="43"/>
      <c r="F85" s="28"/>
      <c r="G85" s="29"/>
      <c r="H85" s="39"/>
      <c r="I85" s="40"/>
      <c r="J85" s="45"/>
      <c r="K85" s="47" t="e" vm="1">
        <v>#VALUE!</v>
      </c>
      <c r="L85" s="48"/>
      <c r="M85" s="27"/>
      <c r="N85" s="29"/>
    </row>
    <row r="86" spans="1:14" ht="24.75" customHeight="1" thickBot="1" x14ac:dyDescent="0.3">
      <c r="A86" s="41" t="s">
        <v>46</v>
      </c>
      <c r="B86" s="28"/>
      <c r="C86" s="28"/>
      <c r="D86" s="29"/>
      <c r="E86" s="43"/>
      <c r="F86" s="28"/>
      <c r="G86" s="29"/>
      <c r="H86" s="39"/>
      <c r="I86" s="40"/>
      <c r="J86" s="45"/>
      <c r="K86" s="47" t="e" vm="1">
        <v>#VALUE!</v>
      </c>
      <c r="L86" s="48"/>
      <c r="M86" s="27"/>
      <c r="N86" s="29"/>
    </row>
    <row r="87" spans="1:14" ht="24.75" customHeight="1" thickBot="1" x14ac:dyDescent="0.3">
      <c r="A87" s="41" t="s">
        <v>46</v>
      </c>
      <c r="B87" s="28"/>
      <c r="C87" s="28"/>
      <c r="D87" s="29"/>
      <c r="E87" s="43"/>
      <c r="F87" s="28"/>
      <c r="G87" s="29"/>
      <c r="H87" s="39"/>
      <c r="I87" s="40"/>
      <c r="J87" s="45"/>
      <c r="K87" s="47" t="e" vm="1">
        <v>#VALUE!</v>
      </c>
      <c r="L87" s="48"/>
      <c r="M87" s="27"/>
      <c r="N87" s="29"/>
    </row>
    <row r="88" spans="1:14" ht="24.75" customHeight="1" thickBot="1" x14ac:dyDescent="0.3">
      <c r="A88" s="41" t="s">
        <v>46</v>
      </c>
      <c r="B88" s="28"/>
      <c r="C88" s="28"/>
      <c r="D88" s="29"/>
      <c r="E88" s="43"/>
      <c r="F88" s="28"/>
      <c r="G88" s="29"/>
      <c r="H88" s="39"/>
      <c r="I88" s="40"/>
      <c r="J88" s="45"/>
      <c r="K88" s="47" t="e" vm="1">
        <v>#VALUE!</v>
      </c>
      <c r="L88" s="48"/>
      <c r="M88" s="27"/>
      <c r="N88" s="29"/>
    </row>
    <row r="89" spans="1:14" ht="24.75" customHeight="1" thickBot="1" x14ac:dyDescent="0.3">
      <c r="A89" s="41" t="s">
        <v>46</v>
      </c>
      <c r="B89" s="28"/>
      <c r="C89" s="28"/>
      <c r="D89" s="29"/>
      <c r="E89" s="43"/>
      <c r="F89" s="28"/>
      <c r="G89" s="29"/>
      <c r="H89" s="39"/>
      <c r="I89" s="40"/>
      <c r="J89" s="45"/>
      <c r="K89" s="47" t="e" vm="1">
        <v>#VALUE!</v>
      </c>
      <c r="L89" s="48"/>
      <c r="M89" s="27"/>
      <c r="N89" s="29"/>
    </row>
    <row r="90" spans="1:14" ht="24.75" customHeight="1" thickBot="1" x14ac:dyDescent="0.3">
      <c r="A90" s="41" t="s">
        <v>46</v>
      </c>
      <c r="B90" s="28"/>
      <c r="C90" s="28"/>
      <c r="D90" s="29"/>
      <c r="E90" s="43"/>
      <c r="F90" s="28"/>
      <c r="G90" s="29"/>
      <c r="H90" s="39"/>
      <c r="I90" s="40"/>
      <c r="J90" s="45"/>
      <c r="K90" s="47" t="e" vm="1">
        <v>#VALUE!</v>
      </c>
      <c r="L90" s="48"/>
      <c r="M90" s="27"/>
      <c r="N90" s="29"/>
    </row>
    <row r="91" spans="1:14" ht="24.75" customHeight="1" thickBot="1" x14ac:dyDescent="0.3">
      <c r="A91" s="41" t="s">
        <v>46</v>
      </c>
      <c r="B91" s="28"/>
      <c r="C91" s="28"/>
      <c r="D91" s="29"/>
      <c r="E91" s="43"/>
      <c r="F91" s="28"/>
      <c r="G91" s="29"/>
      <c r="H91" s="39"/>
      <c r="I91" s="40"/>
      <c r="J91" s="45"/>
      <c r="K91" s="47" t="e" vm="1">
        <v>#VALUE!</v>
      </c>
      <c r="L91" s="48"/>
      <c r="M91" s="27"/>
      <c r="N91" s="29"/>
    </row>
    <row r="92" spans="1:14" ht="24.75" customHeight="1" thickBot="1" x14ac:dyDescent="0.3">
      <c r="A92" s="41" t="s">
        <v>46</v>
      </c>
      <c r="B92" s="28"/>
      <c r="C92" s="28"/>
      <c r="D92" s="29"/>
      <c r="E92" s="43"/>
      <c r="F92" s="28"/>
      <c r="G92" s="29"/>
      <c r="H92" s="39"/>
      <c r="I92" s="40"/>
      <c r="J92" s="45"/>
      <c r="K92" s="47" t="e" vm="1">
        <v>#VALUE!</v>
      </c>
      <c r="L92" s="48"/>
      <c r="M92" s="27"/>
      <c r="N92" s="29"/>
    </row>
    <row r="93" spans="1:14" ht="24.75" customHeight="1" thickBot="1" x14ac:dyDescent="0.3">
      <c r="A93" s="41" t="s">
        <v>46</v>
      </c>
      <c r="B93" s="28"/>
      <c r="C93" s="28"/>
      <c r="D93" s="29"/>
      <c r="E93" s="43"/>
      <c r="F93" s="28"/>
      <c r="G93" s="29"/>
      <c r="H93" s="39"/>
      <c r="I93" s="40"/>
      <c r="J93" s="45"/>
      <c r="K93" s="47" t="e" vm="1">
        <v>#VALUE!</v>
      </c>
      <c r="L93" s="48"/>
      <c r="M93" s="27"/>
      <c r="N93" s="29"/>
    </row>
    <row r="94" spans="1:14" ht="24.75" customHeight="1" thickBot="1" x14ac:dyDescent="0.3">
      <c r="A94" s="41" t="s">
        <v>46</v>
      </c>
      <c r="B94" s="28"/>
      <c r="C94" s="28"/>
      <c r="D94" s="29"/>
      <c r="E94" s="43"/>
      <c r="F94" s="28"/>
      <c r="G94" s="29"/>
      <c r="H94" s="39"/>
      <c r="I94" s="40"/>
      <c r="J94" s="45"/>
      <c r="K94" s="47" t="e" vm="1">
        <v>#VALUE!</v>
      </c>
      <c r="L94" s="48"/>
      <c r="M94" s="27"/>
      <c r="N94" s="29"/>
    </row>
    <row r="95" spans="1:14" ht="24.75" customHeight="1" thickBot="1" x14ac:dyDescent="0.3">
      <c r="A95" s="41" t="s">
        <v>46</v>
      </c>
      <c r="B95" s="28"/>
      <c r="C95" s="28"/>
      <c r="D95" s="29"/>
      <c r="E95" s="43"/>
      <c r="F95" s="28"/>
      <c r="G95" s="29"/>
      <c r="H95" s="39"/>
      <c r="I95" s="40"/>
      <c r="J95" s="45"/>
      <c r="K95" s="47" t="e" vm="1">
        <v>#VALUE!</v>
      </c>
      <c r="L95" s="48"/>
      <c r="M95" s="27"/>
      <c r="N95" s="29"/>
    </row>
    <row r="96" spans="1:14" ht="24.75" customHeight="1" thickBot="1" x14ac:dyDescent="0.3">
      <c r="A96" s="41" t="s">
        <v>46</v>
      </c>
      <c r="B96" s="28"/>
      <c r="C96" s="28"/>
      <c r="D96" s="29"/>
      <c r="E96" s="43"/>
      <c r="F96" s="28"/>
      <c r="G96" s="29"/>
      <c r="H96" s="39"/>
      <c r="I96" s="40"/>
      <c r="J96" s="45"/>
      <c r="K96" s="47" t="e" vm="1">
        <v>#VALUE!</v>
      </c>
      <c r="L96" s="48"/>
      <c r="M96" s="27"/>
      <c r="N96" s="29"/>
    </row>
    <row r="97" spans="1:14" ht="24.75" customHeight="1" thickBot="1" x14ac:dyDescent="0.3">
      <c r="A97" s="41" t="s">
        <v>46</v>
      </c>
      <c r="B97" s="28"/>
      <c r="C97" s="28"/>
      <c r="D97" s="29"/>
      <c r="E97" s="43"/>
      <c r="F97" s="28"/>
      <c r="G97" s="29"/>
      <c r="H97" s="39"/>
      <c r="I97" s="40"/>
      <c r="J97" s="45"/>
      <c r="K97" s="47" t="e" vm="1">
        <v>#VALUE!</v>
      </c>
      <c r="L97" s="48"/>
      <c r="M97" s="27"/>
      <c r="N97" s="29"/>
    </row>
    <row r="98" spans="1:14" ht="24.75" customHeight="1" thickBot="1" x14ac:dyDescent="0.3">
      <c r="A98" s="41" t="s">
        <v>46</v>
      </c>
      <c r="B98" s="28"/>
      <c r="C98" s="28"/>
      <c r="D98" s="29"/>
      <c r="E98" s="43"/>
      <c r="F98" s="28"/>
      <c r="G98" s="29"/>
      <c r="H98" s="39"/>
      <c r="I98" s="40"/>
      <c r="J98" s="45"/>
      <c r="K98" s="47" t="e" vm="1">
        <v>#VALUE!</v>
      </c>
      <c r="L98" s="48"/>
      <c r="M98" s="27"/>
      <c r="N98" s="29"/>
    </row>
    <row r="99" spans="1:14" ht="24.75" customHeight="1" thickBot="1" x14ac:dyDescent="0.3">
      <c r="A99" s="41" t="s">
        <v>46</v>
      </c>
      <c r="B99" s="28"/>
      <c r="C99" s="28"/>
      <c r="D99" s="29"/>
      <c r="E99" s="43"/>
      <c r="F99" s="28"/>
      <c r="G99" s="29"/>
      <c r="H99" s="39"/>
      <c r="I99" s="40"/>
      <c r="J99" s="45"/>
      <c r="K99" s="47" t="e" vm="1">
        <v>#VALUE!</v>
      </c>
      <c r="L99" s="48"/>
      <c r="M99" s="27"/>
      <c r="N99" s="29"/>
    </row>
    <row r="100" spans="1:14" ht="24.75" customHeight="1" thickBot="1" x14ac:dyDescent="0.3">
      <c r="A100" s="41" t="s">
        <v>46</v>
      </c>
      <c r="B100" s="28"/>
      <c r="C100" s="28"/>
      <c r="D100" s="29"/>
      <c r="E100" s="43"/>
      <c r="F100" s="28"/>
      <c r="G100" s="29"/>
      <c r="H100" s="39"/>
      <c r="I100" s="40"/>
      <c r="J100" s="45"/>
      <c r="K100" s="47" t="e" vm="1">
        <v>#VALUE!</v>
      </c>
      <c r="L100" s="48"/>
      <c r="M100" s="27"/>
      <c r="N100" s="29"/>
    </row>
    <row r="101" spans="1:14" ht="24.75" customHeight="1" thickBot="1" x14ac:dyDescent="0.3">
      <c r="A101" s="41" t="s">
        <v>46</v>
      </c>
      <c r="B101" s="28"/>
      <c r="C101" s="28"/>
      <c r="D101" s="29"/>
      <c r="E101" s="43"/>
      <c r="F101" s="28"/>
      <c r="G101" s="29"/>
      <c r="H101" s="39"/>
      <c r="I101" s="40"/>
      <c r="J101" s="45"/>
      <c r="K101" s="47" t="e" vm="1">
        <v>#VALUE!</v>
      </c>
      <c r="L101" s="48"/>
      <c r="M101" s="27"/>
      <c r="N101" s="29"/>
    </row>
    <row r="102" spans="1:14" ht="24.75" customHeight="1" thickBot="1" x14ac:dyDescent="0.3">
      <c r="A102" s="41" t="s">
        <v>46</v>
      </c>
      <c r="B102" s="28"/>
      <c r="C102" s="28"/>
      <c r="D102" s="29"/>
      <c r="E102" s="43"/>
      <c r="F102" s="28"/>
      <c r="G102" s="29"/>
      <c r="H102" s="39"/>
      <c r="I102" s="40"/>
      <c r="J102" s="45"/>
      <c r="K102" s="47" t="e" vm="1">
        <v>#VALUE!</v>
      </c>
      <c r="L102" s="48"/>
      <c r="M102" s="27"/>
      <c r="N102" s="29"/>
    </row>
    <row r="103" spans="1:14" ht="24.75" customHeight="1" thickBot="1" x14ac:dyDescent="0.3">
      <c r="A103" s="41" t="s">
        <v>46</v>
      </c>
      <c r="B103" s="28"/>
      <c r="C103" s="28"/>
      <c r="D103" s="29"/>
      <c r="E103" s="43"/>
      <c r="F103" s="28"/>
      <c r="G103" s="29"/>
      <c r="H103" s="39"/>
      <c r="I103" s="40"/>
      <c r="J103" s="45"/>
      <c r="K103" s="47" t="e" vm="1">
        <v>#VALUE!</v>
      </c>
      <c r="L103" s="48"/>
      <c r="M103" s="27"/>
      <c r="N103" s="29"/>
    </row>
    <row r="104" spans="1:14" ht="24.75" customHeight="1" thickBot="1" x14ac:dyDescent="0.3">
      <c r="A104" s="41" t="s">
        <v>46</v>
      </c>
      <c r="B104" s="28"/>
      <c r="C104" s="28"/>
      <c r="D104" s="29"/>
      <c r="E104" s="43"/>
      <c r="F104" s="28"/>
      <c r="G104" s="29"/>
      <c r="H104" s="39"/>
      <c r="I104" s="40"/>
      <c r="J104" s="45"/>
      <c r="K104" s="47" t="e" vm="1">
        <v>#VALUE!</v>
      </c>
      <c r="L104" s="48"/>
      <c r="M104" s="27"/>
      <c r="N104" s="29"/>
    </row>
    <row r="105" spans="1:14" ht="24.75" customHeight="1" thickBot="1" x14ac:dyDescent="0.3">
      <c r="A105" s="41" t="s">
        <v>46</v>
      </c>
      <c r="B105" s="28"/>
      <c r="C105" s="28"/>
      <c r="D105" s="29"/>
      <c r="E105" s="43"/>
      <c r="F105" s="28"/>
      <c r="G105" s="29"/>
      <c r="H105" s="39"/>
      <c r="I105" s="40"/>
      <c r="J105" s="45"/>
      <c r="K105" s="47" t="e" vm="1">
        <v>#VALUE!</v>
      </c>
      <c r="L105" s="48"/>
      <c r="M105" s="27"/>
      <c r="N105" s="29"/>
    </row>
    <row r="106" spans="1:14" ht="24.75" customHeight="1" thickBot="1" x14ac:dyDescent="0.3">
      <c r="A106" s="41" t="s">
        <v>46</v>
      </c>
      <c r="B106" s="28"/>
      <c r="C106" s="28"/>
      <c r="D106" s="29"/>
      <c r="E106" s="43"/>
      <c r="F106" s="28"/>
      <c r="G106" s="29"/>
      <c r="H106" s="39"/>
      <c r="I106" s="40"/>
      <c r="J106" s="45"/>
      <c r="K106" s="47" t="e" vm="1">
        <v>#VALUE!</v>
      </c>
      <c r="L106" s="48"/>
      <c r="M106" s="27"/>
      <c r="N106" s="29"/>
    </row>
    <row r="107" spans="1:14" ht="24.75" customHeight="1" thickBot="1" x14ac:dyDescent="0.3">
      <c r="A107" s="41" t="s">
        <v>46</v>
      </c>
      <c r="B107" s="28"/>
      <c r="C107" s="28"/>
      <c r="D107" s="29"/>
      <c r="E107" s="43"/>
      <c r="F107" s="28"/>
      <c r="G107" s="29"/>
      <c r="H107" s="39"/>
      <c r="I107" s="40"/>
      <c r="J107" s="45"/>
      <c r="K107" s="47" t="e" vm="1">
        <v>#VALUE!</v>
      </c>
      <c r="L107" s="48"/>
      <c r="M107" s="27"/>
      <c r="N107" s="29"/>
    </row>
    <row r="108" spans="1:14" ht="24.75" customHeight="1" thickBot="1" x14ac:dyDescent="0.3">
      <c r="A108" s="41" t="s">
        <v>46</v>
      </c>
      <c r="B108" s="28"/>
      <c r="C108" s="28"/>
      <c r="D108" s="29"/>
      <c r="E108" s="43"/>
      <c r="F108" s="28"/>
      <c r="G108" s="29"/>
      <c r="H108" s="39"/>
      <c r="I108" s="40"/>
      <c r="J108" s="45"/>
      <c r="K108" s="47" t="e" vm="1">
        <v>#VALUE!</v>
      </c>
      <c r="L108" s="48"/>
      <c r="M108" s="27"/>
      <c r="N108" s="29"/>
    </row>
    <row r="109" spans="1:14" ht="24.75" customHeight="1" x14ac:dyDescent="0.25">
      <c r="A109" s="41" t="s">
        <v>46</v>
      </c>
      <c r="B109" s="28"/>
      <c r="C109" s="28"/>
      <c r="D109" s="29"/>
      <c r="E109" s="43"/>
      <c r="F109" s="28"/>
      <c r="G109" s="29"/>
      <c r="H109" s="39"/>
      <c r="I109" s="40"/>
      <c r="J109" s="45"/>
      <c r="K109" s="47" t="e" vm="1">
        <v>#VALUE!</v>
      </c>
      <c r="L109" s="48"/>
      <c r="M109" s="27"/>
      <c r="N109" s="29"/>
    </row>
    <row r="110" spans="1:14" ht="24.75" customHeight="1" x14ac:dyDescent="0.25"/>
    <row r="111" spans="1:14" ht="24.75" customHeight="1" x14ac:dyDescent="0.25">
      <c r="J111" s="46">
        <f>SUM(J4:J109)</f>
        <v>202</v>
      </c>
    </row>
    <row r="112" spans="1:14" ht="24.75" customHeight="1" x14ac:dyDescent="0.25"/>
    <row r="113" spans="9:14" ht="24.75" customHeight="1" x14ac:dyDescent="0.25">
      <c r="K113" s="22"/>
      <c r="L113" s="22" t="s">
        <v>23</v>
      </c>
      <c r="M113" s="22"/>
      <c r="N113" s="22"/>
    </row>
    <row r="114" spans="9:14" ht="24.75" customHeight="1" x14ac:dyDescent="0.25">
      <c r="K114" s="22"/>
      <c r="L114" s="22"/>
      <c r="M114" s="22"/>
      <c r="N114" s="22"/>
    </row>
    <row r="115" spans="9:14" ht="14.4" customHeight="1" x14ac:dyDescent="0.25">
      <c r="K115" s="22" t="s">
        <v>24</v>
      </c>
      <c r="L115" s="22" t="s">
        <v>11</v>
      </c>
      <c r="M115" s="22"/>
      <c r="N115" s="22"/>
    </row>
    <row r="121" spans="9:14" x14ac:dyDescent="0.25">
      <c r="I121" t="s">
        <v>26</v>
      </c>
    </row>
  </sheetData>
  <mergeCells count="112">
    <mergeCell ref="A2:D3"/>
    <mergeCell ref="E2:G3"/>
    <mergeCell ref="H2:I2"/>
    <mergeCell ref="J2:J3"/>
    <mergeCell ref="K2:L3"/>
    <mergeCell ref="M2:N3"/>
    <mergeCell ref="K10:L10"/>
    <mergeCell ref="K11:L11"/>
    <mergeCell ref="K12:L12"/>
    <mergeCell ref="K13:L13"/>
    <mergeCell ref="K14:L14"/>
    <mergeCell ref="K15:L15"/>
    <mergeCell ref="K4:L4"/>
    <mergeCell ref="K5:L5"/>
    <mergeCell ref="K6:L6"/>
    <mergeCell ref="K7:L7"/>
    <mergeCell ref="K8:L8"/>
    <mergeCell ref="K9:L9"/>
    <mergeCell ref="K22:L22"/>
    <mergeCell ref="K23:L23"/>
    <mergeCell ref="K24:L24"/>
    <mergeCell ref="K25:L25"/>
    <mergeCell ref="K26:L26"/>
    <mergeCell ref="K27:L27"/>
    <mergeCell ref="K16:L16"/>
    <mergeCell ref="K17:L17"/>
    <mergeCell ref="K18:L18"/>
    <mergeCell ref="K19:L19"/>
    <mergeCell ref="K20:L20"/>
    <mergeCell ref="K21:L21"/>
    <mergeCell ref="K34:L34"/>
    <mergeCell ref="K35:L35"/>
    <mergeCell ref="K36:L36"/>
    <mergeCell ref="K37:L37"/>
    <mergeCell ref="K38:L38"/>
    <mergeCell ref="K39:L39"/>
    <mergeCell ref="K28:L28"/>
    <mergeCell ref="K29:L29"/>
    <mergeCell ref="K30:L30"/>
    <mergeCell ref="K31:L31"/>
    <mergeCell ref="K32:L32"/>
    <mergeCell ref="K33:L33"/>
    <mergeCell ref="K46:L46"/>
    <mergeCell ref="K47:L47"/>
    <mergeCell ref="K48:L48"/>
    <mergeCell ref="K49:L49"/>
    <mergeCell ref="K50:L50"/>
    <mergeCell ref="K51:L51"/>
    <mergeCell ref="K40:L40"/>
    <mergeCell ref="K41:L41"/>
    <mergeCell ref="K42:L42"/>
    <mergeCell ref="K43:L43"/>
    <mergeCell ref="K44:L44"/>
    <mergeCell ref="K45:L45"/>
    <mergeCell ref="K58:L58"/>
    <mergeCell ref="K59:L59"/>
    <mergeCell ref="K60:L60"/>
    <mergeCell ref="K61:L61"/>
    <mergeCell ref="K62:L62"/>
    <mergeCell ref="K63:L63"/>
    <mergeCell ref="K52:L52"/>
    <mergeCell ref="K53:L53"/>
    <mergeCell ref="K54:L54"/>
    <mergeCell ref="K55:L55"/>
    <mergeCell ref="K56:L56"/>
    <mergeCell ref="K57:L57"/>
    <mergeCell ref="K70:L70"/>
    <mergeCell ref="K71:L71"/>
    <mergeCell ref="K72:L72"/>
    <mergeCell ref="K73:L73"/>
    <mergeCell ref="K74:L74"/>
    <mergeCell ref="K75:L75"/>
    <mergeCell ref="K64:L64"/>
    <mergeCell ref="K65:L65"/>
    <mergeCell ref="K66:L66"/>
    <mergeCell ref="K67:L67"/>
    <mergeCell ref="K68:L68"/>
    <mergeCell ref="K69:L69"/>
    <mergeCell ref="K82:L82"/>
    <mergeCell ref="K83:L83"/>
    <mergeCell ref="K84:L84"/>
    <mergeCell ref="K85:L85"/>
    <mergeCell ref="K86:L86"/>
    <mergeCell ref="K87:L87"/>
    <mergeCell ref="K76:L76"/>
    <mergeCell ref="K77:L77"/>
    <mergeCell ref="K78:L78"/>
    <mergeCell ref="K79:L79"/>
    <mergeCell ref="K80:L80"/>
    <mergeCell ref="K81:L81"/>
    <mergeCell ref="K94:L94"/>
    <mergeCell ref="K95:L95"/>
    <mergeCell ref="K96:L96"/>
    <mergeCell ref="K97:L97"/>
    <mergeCell ref="K98:L98"/>
    <mergeCell ref="K99:L99"/>
    <mergeCell ref="K88:L88"/>
    <mergeCell ref="K89:L89"/>
    <mergeCell ref="K90:L90"/>
    <mergeCell ref="K91:L91"/>
    <mergeCell ref="K92:L92"/>
    <mergeCell ref="K93:L93"/>
    <mergeCell ref="K106:L106"/>
    <mergeCell ref="K107:L107"/>
    <mergeCell ref="K108:L108"/>
    <mergeCell ref="K109:L109"/>
    <mergeCell ref="K100:L100"/>
    <mergeCell ref="K101:L101"/>
    <mergeCell ref="K102:L102"/>
    <mergeCell ref="K103:L103"/>
    <mergeCell ref="K104:L104"/>
    <mergeCell ref="K105:L105"/>
  </mergeCells>
  <conditionalFormatting sqref="J4:J109">
    <cfRule type="expression" dxfId="0" priority="1" stopIfTrue="1">
      <formula>AND($E4&lt;&gt;"", SUMIF($E:$E, $E4, $J:$J) &gt; 6)</formula>
    </cfRule>
  </conditionalFormatting>
  <pageMargins left="0.98425196850393704" right="0.23622047244094491" top="0.35433070866141736" bottom="0" header="0.11811023622047245" footer="0.51181102362204722"/>
  <pageSetup paperSize="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copertina</vt:lpstr>
      <vt:lpstr>foglio dati</vt:lpstr>
      <vt:lpstr>foglio presenze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SAMUELE COLUCCI</cp:lastModifiedBy>
  <cp:lastPrinted>2019-09-25T09:35:06Z</cp:lastPrinted>
  <dcterms:created xsi:type="dcterms:W3CDTF">1996-11-05T10:16:36Z</dcterms:created>
  <dcterms:modified xsi:type="dcterms:W3CDTF">2026-07-13T16:21:11Z</dcterms:modified>
</cp:coreProperties>
</file>